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vie\OneDrive\Desktop\Learning for Fun\Fundamentals of Inventory Management\"/>
    </mc:Choice>
  </mc:AlternateContent>
  <xr:revisionPtr revIDLastSave="0" documentId="13_ncr:1_{81EA833F-22A8-4617-9B55-3A35468921F1}" xr6:coauthVersionLast="47" xr6:coauthVersionMax="47" xr10:uidLastSave="{00000000-0000-0000-0000-000000000000}"/>
  <bookViews>
    <workbookView xWindow="-120" yWindow="-120" windowWidth="29040" windowHeight="15720" tabRatio="868" activeTab="1" xr2:uid="{DDC8EE57-6D24-4EE9-9ADD-E2B82CB0BF92}"/>
  </bookViews>
  <sheets>
    <sheet name="Raw Data" sheetId="1" r:id="rId1"/>
    <sheet name="Baseline" sheetId="2" r:id="rId2"/>
    <sheet name="Baseline plus Seasonality" sheetId="3" r:id="rId3"/>
    <sheet name="Baseline plus Trend" sheetId="4" r:id="rId4"/>
    <sheet name="Baseline, Trend and Seasonality" sheetId="5" r:id="rId5"/>
  </sheets>
  <definedNames>
    <definedName name="_xlchart.v1.0" hidden="1">Baseline!$I$5:$I$20</definedName>
    <definedName name="_xlchart.v1.1" hidden="1">Baseline!$I$5:$I$20</definedName>
    <definedName name="_xlchart.v1.2" hidden="1">'Baseline plus Seasonality'!$J$6:$J$21</definedName>
    <definedName name="_xlchart.v1.3" hidden="1">'Baseline plus Trend'!$I$5:$I$20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5" l="1"/>
  <c r="E38" i="5"/>
  <c r="D38" i="5"/>
  <c r="C38" i="5"/>
  <c r="J44" i="5"/>
  <c r="J43" i="5"/>
  <c r="J42" i="5"/>
  <c r="J41" i="5"/>
  <c r="J47" i="5"/>
  <c r="J46" i="5"/>
  <c r="F28" i="5"/>
  <c r="E28" i="5"/>
  <c r="D28" i="5"/>
  <c r="C28" i="5"/>
  <c r="F27" i="5"/>
  <c r="E27" i="5"/>
  <c r="D27" i="5"/>
  <c r="C27" i="5"/>
  <c r="F26" i="5"/>
  <c r="E26" i="5"/>
  <c r="D26" i="5"/>
  <c r="C26" i="5"/>
  <c r="F25" i="5"/>
  <c r="E25" i="5"/>
  <c r="D25" i="5"/>
  <c r="C25" i="5"/>
  <c r="F19" i="5"/>
  <c r="E19" i="5"/>
  <c r="D19" i="5"/>
  <c r="C19" i="5"/>
  <c r="F18" i="5"/>
  <c r="E18" i="5"/>
  <c r="D18" i="5"/>
  <c r="C18" i="5"/>
  <c r="F17" i="5"/>
  <c r="E17" i="5"/>
  <c r="D17" i="5"/>
  <c r="C17" i="5"/>
  <c r="F16" i="5"/>
  <c r="E16" i="5"/>
  <c r="D16" i="5"/>
  <c r="C16" i="5"/>
  <c r="F15" i="5"/>
  <c r="E15" i="5"/>
  <c r="D15" i="5"/>
  <c r="C15" i="5"/>
  <c r="G9" i="5"/>
  <c r="G8" i="5"/>
  <c r="G7" i="5"/>
  <c r="J42" i="3"/>
  <c r="M30" i="3" s="1"/>
  <c r="G6" i="5"/>
  <c r="I22" i="4"/>
  <c r="I23" i="4"/>
  <c r="I24" i="4"/>
  <c r="I21" i="4"/>
  <c r="F36" i="3"/>
  <c r="E36" i="3"/>
  <c r="D36" i="3"/>
  <c r="C36" i="3"/>
  <c r="F32" i="3"/>
  <c r="E32" i="3"/>
  <c r="D32" i="3"/>
  <c r="C32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J41" i="3"/>
  <c r="D28" i="3"/>
  <c r="F28" i="3"/>
  <c r="E28" i="3"/>
  <c r="C28" i="3"/>
  <c r="F27" i="3"/>
  <c r="E27" i="3"/>
  <c r="D27" i="3"/>
  <c r="C27" i="3"/>
  <c r="F26" i="3"/>
  <c r="E26" i="3"/>
  <c r="D26" i="3"/>
  <c r="C26" i="3"/>
  <c r="F25" i="3"/>
  <c r="E25" i="3"/>
  <c r="D25" i="3"/>
  <c r="C25" i="3"/>
  <c r="F18" i="3"/>
  <c r="E18" i="3"/>
  <c r="D18" i="3"/>
  <c r="C18" i="3"/>
  <c r="F17" i="3"/>
  <c r="E17" i="3"/>
  <c r="D17" i="3"/>
  <c r="C17" i="3"/>
  <c r="F16" i="3"/>
  <c r="E16" i="3"/>
  <c r="D16" i="3"/>
  <c r="C16" i="3"/>
  <c r="F15" i="3"/>
  <c r="E15" i="3"/>
  <c r="D15" i="3"/>
  <c r="C15" i="3"/>
  <c r="G9" i="3"/>
  <c r="G8" i="3"/>
  <c r="G7" i="3"/>
  <c r="G6" i="3"/>
  <c r="M36" i="3" l="1"/>
  <c r="L37" i="3"/>
  <c r="M37" i="3"/>
  <c r="M32" i="3"/>
  <c r="M27" i="3"/>
  <c r="L38" i="3"/>
  <c r="L33" i="3"/>
  <c r="M38" i="3"/>
  <c r="L31" i="3"/>
  <c r="M33" i="3"/>
  <c r="M26" i="3"/>
  <c r="L27" i="3"/>
  <c r="M28" i="3"/>
  <c r="L39" i="3"/>
  <c r="L34" i="3"/>
  <c r="M39" i="3"/>
  <c r="L26" i="3"/>
  <c r="L28" i="3"/>
  <c r="L29" i="3"/>
  <c r="M34" i="3"/>
  <c r="M35" i="3"/>
  <c r="L36" i="3"/>
  <c r="M31" i="3"/>
  <c r="L32" i="3"/>
  <c r="M29" i="3"/>
  <c r="L40" i="3"/>
  <c r="L35" i="3"/>
  <c r="M40" i="3"/>
  <c r="L25" i="3"/>
  <c r="L30" i="3"/>
  <c r="M25" i="3"/>
  <c r="F38" i="3" l="1"/>
  <c r="E38" i="3"/>
  <c r="D38" i="3"/>
  <c r="C38" i="3"/>
  <c r="F37" i="3"/>
  <c r="E37" i="3"/>
  <c r="D37" i="3"/>
  <c r="C37" i="3"/>
  <c r="L20" i="2" l="1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I22" i="2"/>
  <c r="I21" i="2"/>
  <c r="D19" i="3" l="1"/>
  <c r="F19" i="3"/>
  <c r="E19" i="3"/>
  <c r="C1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86FD82-5765-45BD-8CF0-E6243AD0E66C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2" xr16:uid="{7941C337-7497-4382-B1D9-B322B47980FC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  <connection id="3" xr16:uid="{672DD87B-3993-4D43-BD4C-760DBB1BF10A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<sst xmlns="http://schemas.openxmlformats.org/spreadsheetml/2006/main" count="256" uniqueCount="94">
  <si>
    <t>Appliance Sales Problem</t>
  </si>
  <si>
    <t>Q1</t>
  </si>
  <si>
    <t>Q2</t>
  </si>
  <si>
    <t>Q3</t>
  </si>
  <si>
    <t>Q4</t>
  </si>
  <si>
    <t>Smart Refrigerators - Units Sold</t>
  </si>
  <si>
    <t>Entry Level Clothes Dryers - Units Sold</t>
  </si>
  <si>
    <t>Baseline Only</t>
  </si>
  <si>
    <t>Baseline plus Trend</t>
  </si>
  <si>
    <t>Baseline plus Seasonality</t>
  </si>
  <si>
    <t>Baseline, Trend and Seasonality</t>
  </si>
  <si>
    <t>Signature Stove</t>
  </si>
  <si>
    <t>Commerical Icemaker</t>
  </si>
  <si>
    <t>19Q1</t>
  </si>
  <si>
    <t>19Q2</t>
  </si>
  <si>
    <t>19Q3</t>
  </si>
  <si>
    <t>19Q4</t>
  </si>
  <si>
    <t>20Q1</t>
  </si>
  <si>
    <t>20Q2</t>
  </si>
  <si>
    <t>20Q3</t>
  </si>
  <si>
    <t>20Q4</t>
  </si>
  <si>
    <t>21Q1</t>
  </si>
  <si>
    <t>21Q2</t>
  </si>
  <si>
    <t>21Q3</t>
  </si>
  <si>
    <t>21Q4</t>
  </si>
  <si>
    <t>22Q1</t>
  </si>
  <si>
    <t>22Q2</t>
  </si>
  <si>
    <t>22Q3</t>
  </si>
  <si>
    <t>22Q4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</si>
  <si>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</si>
  <si>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</si>
  <si>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</si>
  <si>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</si>
  <si>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</si>
  <si>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</si>
  <si>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</si>
  <si>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</si>
  <si>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</si>
  <si>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</si>
  <si>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</si>
  <si>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</si>
  <si>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</si>
  <si>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</si>
  <si>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Quarter</t>
  </si>
  <si>
    <t>Units Sold</t>
  </si>
  <si>
    <t>Exp. Upper Limit</t>
  </si>
  <si>
    <t>Exp. Lower Limit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</si>
  <si>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</si>
  <si>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</si>
  <si>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</si>
  <si>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</si>
  <si>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</si>
  <si>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</si>
  <si>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</si>
  <si>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</si>
  <si>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</si>
  <si>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</si>
  <si>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</si>
  <si>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</si>
  <si>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</si>
  <si>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</si>
  <si>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</si>
  <si>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</si>
  <si>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</si>
  <si>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</si>
  <si>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</si>
  <si>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</si>
  <si>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</si>
  <si>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</si>
  <si>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</si>
  <si>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</si>
  <si>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Annual Avg</t>
  </si>
  <si>
    <t>Seasonality Indices</t>
  </si>
  <si>
    <t>Deseasonalized Values</t>
  </si>
  <si>
    <t>Units Sold, Raw Data</t>
  </si>
  <si>
    <t>Units Sold, Deseasonalized Data</t>
  </si>
  <si>
    <t>Stdev</t>
  </si>
  <si>
    <t>Average Seasonality Index</t>
  </si>
  <si>
    <t>No</t>
  </si>
  <si>
    <t>Deseaonalized Forecast</t>
  </si>
  <si>
    <t>QTR No</t>
  </si>
  <si>
    <t>Seasonalized Forecast</t>
  </si>
  <si>
    <t>"Elemental" Clothes Dryer</t>
  </si>
  <si>
    <t>"Absolute Zero" Commerical Icemaker</t>
  </si>
  <si>
    <t>IntelliSenseSmart Refrigerators</t>
  </si>
  <si>
    <t>Stdiv</t>
  </si>
  <si>
    <t>Deseasonalized Forecast</t>
  </si>
  <si>
    <t>High</t>
  </si>
  <si>
    <t>Low</t>
  </si>
  <si>
    <t>STd</t>
  </si>
  <si>
    <t>23Q1</t>
  </si>
  <si>
    <t>23Q2</t>
  </si>
  <si>
    <t>23Q3</t>
  </si>
  <si>
    <t>23Q4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</si>
</sst>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4" borderId="3" xfId="0" applyFill="1" applyBorder="1" applyAlignment="1">
      <alignment horizontal="center"/>
    </xf>
    <xf numFmtId="165" fontId="0" fillId="4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7" xfId="0" applyBorder="1"/>
    <xf numFmtId="165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3" borderId="4" xfId="0" applyFill="1" applyBorder="1" applyAlignment="1">
      <alignment horizontal="left" vertical="center"/>
    </xf>
    <xf numFmtId="0" fontId="0" fillId="3" borderId="5" xfId="0" applyFill="1" applyBorder="1"/>
    <xf numFmtId="0" fontId="4" fillId="0" borderId="7" xfId="0" applyFont="1" applyBorder="1" applyAlignment="1">
      <alignment horizontal="center" vertical="center"/>
    </xf>
    <xf numFmtId="2" fontId="0" fillId="0" borderId="0" xfId="0" applyNumberFormat="1"/>
    <xf numFmtId="2" fontId="0" fillId="0" borderId="8" xfId="0" applyNumberFormat="1" applyBorder="1"/>
    <xf numFmtId="0" fontId="4" fillId="0" borderId="7" xfId="0" applyFont="1" applyBorder="1"/>
    <xf numFmtId="0" fontId="4" fillId="0" borderId="9" xfId="0" applyFont="1" applyBorder="1"/>
    <xf numFmtId="2" fontId="0" fillId="0" borderId="10" xfId="0" applyNumberFormat="1" applyBorder="1"/>
    <xf numFmtId="2" fontId="0" fillId="0" borderId="11" xfId="0" applyNumberFormat="1" applyBorder="1"/>
    <xf numFmtId="0" fontId="0" fillId="2" borderId="12" xfId="0" applyFill="1" applyBorder="1" applyAlignment="1">
      <alignment horizontal="center" vertical="center"/>
    </xf>
    <xf numFmtId="165" fontId="0" fillId="2" borderId="12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Continuous" vertical="center"/>
    </xf>
    <xf numFmtId="0" fontId="0" fillId="0" borderId="5" xfId="0" applyBorder="1" applyAlignment="1">
      <alignment horizontal="centerContinuous"/>
    </xf>
    <xf numFmtId="0" fontId="3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" fillId="0" borderId="4" xfId="0" applyFont="1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3" borderId="13" xfId="0" applyFill="1" applyBorder="1" applyAlignment="1">
      <alignment horizontal="center"/>
    </xf>
    <xf numFmtId="0" fontId="0" fillId="0" borderId="6" xfId="0" applyBorder="1" applyAlignment="1">
      <alignment horizontal="centerContinuous"/>
    </xf>
    <xf numFmtId="165" fontId="0" fillId="0" borderId="8" xfId="0" applyNumberFormat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165" fontId="4" fillId="3" borderId="10" xfId="0" applyNumberFormat="1" applyFont="1" applyFill="1" applyBorder="1" applyAlignment="1">
      <alignment horizontal="center"/>
    </xf>
    <xf numFmtId="165" fontId="4" fillId="3" borderId="11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Baseline!$H$5:$H$20</c:f>
              <c:strCache>
                <c:ptCount val="16"/>
                <c:pt idx="0">
                  <c:v>19Q1</c:v>
                </c:pt>
                <c:pt idx="1">
                  <c:v>19Q2</c:v>
                </c:pt>
                <c:pt idx="2">
                  <c:v>19Q3</c:v>
                </c:pt>
                <c:pt idx="3">
                  <c:v>19Q4</c:v>
                </c:pt>
                <c:pt idx="4">
                  <c:v>20Q1</c:v>
                </c:pt>
                <c:pt idx="5">
                  <c:v>20Q2</c:v>
                </c:pt>
                <c:pt idx="6">
                  <c:v>20Q3</c:v>
                </c:pt>
                <c:pt idx="7">
                  <c:v>20Q4</c:v>
                </c:pt>
                <c:pt idx="8">
                  <c:v>21Q1</c:v>
                </c:pt>
                <c:pt idx="9">
                  <c:v>21Q2</c:v>
                </c:pt>
                <c:pt idx="10">
                  <c:v>21Q3</c:v>
                </c:pt>
                <c:pt idx="11">
                  <c:v>21Q4</c:v>
                </c:pt>
                <c:pt idx="12">
                  <c:v>22Q1</c:v>
                </c:pt>
                <c:pt idx="13">
                  <c:v>22Q2</c:v>
                </c:pt>
                <c:pt idx="14">
                  <c:v>22Q3</c:v>
                </c:pt>
                <c:pt idx="15">
                  <c:v>22Q4</c:v>
                </c:pt>
              </c:strCache>
            </c:strRef>
          </c:cat>
          <c:val>
            <c:numRef>
              <c:f>Baseline!$I$5:$I$20</c:f>
              <c:numCache>
                <c:formatCode>General</c:formatCode>
                <c:ptCount val="16"/>
                <c:pt idx="0">
                  <c:v>793</c:v>
                </c:pt>
                <c:pt idx="1">
                  <c:v>781</c:v>
                </c:pt>
                <c:pt idx="2">
                  <c:v>816</c:v>
                </c:pt>
                <c:pt idx="3">
                  <c:v>790</c:v>
                </c:pt>
                <c:pt idx="4">
                  <c:v>836</c:v>
                </c:pt>
                <c:pt idx="5">
                  <c:v>852</c:v>
                </c:pt>
                <c:pt idx="6">
                  <c:v>783</c:v>
                </c:pt>
                <c:pt idx="7">
                  <c:v>877</c:v>
                </c:pt>
                <c:pt idx="8">
                  <c:v>834</c:v>
                </c:pt>
                <c:pt idx="9">
                  <c:v>804</c:v>
                </c:pt>
                <c:pt idx="10">
                  <c:v>824</c:v>
                </c:pt>
                <c:pt idx="11">
                  <c:v>751</c:v>
                </c:pt>
                <c:pt idx="12">
                  <c:v>807</c:v>
                </c:pt>
                <c:pt idx="13">
                  <c:v>823</c:v>
                </c:pt>
                <c:pt idx="14">
                  <c:v>789</c:v>
                </c:pt>
                <c:pt idx="15">
                  <c:v>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34-4542-82C6-3D466FAFE98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Baseline!$H$5:$H$20</c:f>
              <c:strCache>
                <c:ptCount val="16"/>
                <c:pt idx="0">
                  <c:v>19Q1</c:v>
                </c:pt>
                <c:pt idx="1">
                  <c:v>19Q2</c:v>
                </c:pt>
                <c:pt idx="2">
                  <c:v>19Q3</c:v>
                </c:pt>
                <c:pt idx="3">
                  <c:v>19Q4</c:v>
                </c:pt>
                <c:pt idx="4">
                  <c:v>20Q1</c:v>
                </c:pt>
                <c:pt idx="5">
                  <c:v>20Q2</c:v>
                </c:pt>
                <c:pt idx="6">
                  <c:v>20Q3</c:v>
                </c:pt>
                <c:pt idx="7">
                  <c:v>20Q4</c:v>
                </c:pt>
                <c:pt idx="8">
                  <c:v>21Q1</c:v>
                </c:pt>
                <c:pt idx="9">
                  <c:v>21Q2</c:v>
                </c:pt>
                <c:pt idx="10">
                  <c:v>21Q3</c:v>
                </c:pt>
                <c:pt idx="11">
                  <c:v>21Q4</c:v>
                </c:pt>
                <c:pt idx="12">
                  <c:v>22Q1</c:v>
                </c:pt>
                <c:pt idx="13">
                  <c:v>22Q2</c:v>
                </c:pt>
                <c:pt idx="14">
                  <c:v>22Q3</c:v>
                </c:pt>
                <c:pt idx="15">
                  <c:v>22Q4</c:v>
                </c:pt>
              </c:strCache>
            </c:strRef>
          </c:cat>
          <c:val>
            <c:numRef>
              <c:f>Baseline!$J$5:$J$20</c:f>
              <c:numCache>
                <c:formatCode>0.00</c:formatCode>
                <c:ptCount val="16"/>
                <c:pt idx="0">
                  <c:v>810.3125</c:v>
                </c:pt>
                <c:pt idx="1">
                  <c:v>810.3125</c:v>
                </c:pt>
                <c:pt idx="2">
                  <c:v>810.3125</c:v>
                </c:pt>
                <c:pt idx="3">
                  <c:v>810.3125</c:v>
                </c:pt>
                <c:pt idx="4">
                  <c:v>810.3125</c:v>
                </c:pt>
                <c:pt idx="5">
                  <c:v>810.3125</c:v>
                </c:pt>
                <c:pt idx="6">
                  <c:v>810.3125</c:v>
                </c:pt>
                <c:pt idx="7">
                  <c:v>810.3125</c:v>
                </c:pt>
                <c:pt idx="8">
                  <c:v>810.3125</c:v>
                </c:pt>
                <c:pt idx="9">
                  <c:v>810.3125</c:v>
                </c:pt>
                <c:pt idx="10">
                  <c:v>810.3125</c:v>
                </c:pt>
                <c:pt idx="11">
                  <c:v>810.3125</c:v>
                </c:pt>
                <c:pt idx="12">
                  <c:v>810.3125</c:v>
                </c:pt>
                <c:pt idx="13">
                  <c:v>810.3125</c:v>
                </c:pt>
                <c:pt idx="14">
                  <c:v>810.3125</c:v>
                </c:pt>
                <c:pt idx="15">
                  <c:v>810.3125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34-4542-82C6-3D466FAFE98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Baseline!$H$5:$H$20</c:f>
              <c:strCache>
                <c:ptCount val="16"/>
                <c:pt idx="0">
                  <c:v>19Q1</c:v>
                </c:pt>
                <c:pt idx="1">
                  <c:v>19Q2</c:v>
                </c:pt>
                <c:pt idx="2">
                  <c:v>19Q3</c:v>
                </c:pt>
                <c:pt idx="3">
                  <c:v>19Q4</c:v>
                </c:pt>
                <c:pt idx="4">
                  <c:v>20Q1</c:v>
                </c:pt>
                <c:pt idx="5">
                  <c:v>20Q2</c:v>
                </c:pt>
                <c:pt idx="6">
                  <c:v>20Q3</c:v>
                </c:pt>
                <c:pt idx="7">
                  <c:v>20Q4</c:v>
                </c:pt>
                <c:pt idx="8">
                  <c:v>21Q1</c:v>
                </c:pt>
                <c:pt idx="9">
                  <c:v>21Q2</c:v>
                </c:pt>
                <c:pt idx="10">
                  <c:v>21Q3</c:v>
                </c:pt>
                <c:pt idx="11">
                  <c:v>21Q4</c:v>
                </c:pt>
                <c:pt idx="12">
                  <c:v>22Q1</c:v>
                </c:pt>
                <c:pt idx="13">
                  <c:v>22Q2</c:v>
                </c:pt>
                <c:pt idx="14">
                  <c:v>22Q3</c:v>
                </c:pt>
                <c:pt idx="15">
                  <c:v>22Q4</c:v>
                </c:pt>
              </c:strCache>
            </c:strRef>
          </c:cat>
          <c:val>
            <c:numRef>
              <c:f>Baseline!$K$5:$K$20</c:f>
              <c:numCache>
                <c:formatCode>0.0</c:formatCode>
                <c:ptCount val="16"/>
                <c:pt idx="0">
                  <c:v>902.47139810539193</c:v>
                </c:pt>
                <c:pt idx="1">
                  <c:v>902.47139810539193</c:v>
                </c:pt>
                <c:pt idx="2">
                  <c:v>902.47139810539193</c:v>
                </c:pt>
                <c:pt idx="3">
                  <c:v>902.47139810539193</c:v>
                </c:pt>
                <c:pt idx="4">
                  <c:v>902.47139810539193</c:v>
                </c:pt>
                <c:pt idx="5">
                  <c:v>902.47139810539193</c:v>
                </c:pt>
                <c:pt idx="6">
                  <c:v>902.47139810539193</c:v>
                </c:pt>
                <c:pt idx="7">
                  <c:v>902.47139810539193</c:v>
                </c:pt>
                <c:pt idx="8">
                  <c:v>902.47139810539193</c:v>
                </c:pt>
                <c:pt idx="9">
                  <c:v>902.47139810539193</c:v>
                </c:pt>
                <c:pt idx="10">
                  <c:v>902.47139810539193</c:v>
                </c:pt>
                <c:pt idx="11">
                  <c:v>902.47139810539193</c:v>
                </c:pt>
                <c:pt idx="12">
                  <c:v>902.47139810539193</c:v>
                </c:pt>
                <c:pt idx="13">
                  <c:v>902.47139810539193</c:v>
                </c:pt>
                <c:pt idx="14">
                  <c:v>902.47139810539193</c:v>
                </c:pt>
                <c:pt idx="15">
                  <c:v>902.47139810539193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34-4542-82C6-3D466FAFE98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Baseline!$H$5:$H$20</c:f>
              <c:strCache>
                <c:ptCount val="16"/>
                <c:pt idx="0">
                  <c:v>19Q1</c:v>
                </c:pt>
                <c:pt idx="1">
                  <c:v>19Q2</c:v>
                </c:pt>
                <c:pt idx="2">
                  <c:v>19Q3</c:v>
                </c:pt>
                <c:pt idx="3">
                  <c:v>19Q4</c:v>
                </c:pt>
                <c:pt idx="4">
                  <c:v>20Q1</c:v>
                </c:pt>
                <c:pt idx="5">
                  <c:v>20Q2</c:v>
                </c:pt>
                <c:pt idx="6">
                  <c:v>20Q3</c:v>
                </c:pt>
                <c:pt idx="7">
                  <c:v>20Q4</c:v>
                </c:pt>
                <c:pt idx="8">
                  <c:v>21Q1</c:v>
                </c:pt>
                <c:pt idx="9">
                  <c:v>21Q2</c:v>
                </c:pt>
                <c:pt idx="10">
                  <c:v>21Q3</c:v>
                </c:pt>
                <c:pt idx="11">
                  <c:v>21Q4</c:v>
                </c:pt>
                <c:pt idx="12">
                  <c:v>22Q1</c:v>
                </c:pt>
                <c:pt idx="13">
                  <c:v>22Q2</c:v>
                </c:pt>
                <c:pt idx="14">
                  <c:v>22Q3</c:v>
                </c:pt>
                <c:pt idx="15">
                  <c:v>22Q4</c:v>
                </c:pt>
              </c:strCache>
            </c:strRef>
          </c:cat>
          <c:val>
            <c:numRef>
              <c:f>Baseline!$L$5:$L$20</c:f>
              <c:numCache>
                <c:formatCode>0.0</c:formatCode>
                <c:ptCount val="16"/>
                <c:pt idx="0">
                  <c:v>718.15360189460807</c:v>
                </c:pt>
                <c:pt idx="1">
                  <c:v>718.15360189460807</c:v>
                </c:pt>
                <c:pt idx="2">
                  <c:v>718.15360189460807</c:v>
                </c:pt>
                <c:pt idx="3">
                  <c:v>718.15360189460807</c:v>
                </c:pt>
                <c:pt idx="4">
                  <c:v>718.15360189460807</c:v>
                </c:pt>
                <c:pt idx="5">
                  <c:v>718.15360189460807</c:v>
                </c:pt>
                <c:pt idx="6">
                  <c:v>718.15360189460807</c:v>
                </c:pt>
                <c:pt idx="7">
                  <c:v>718.15360189460807</c:v>
                </c:pt>
                <c:pt idx="8">
                  <c:v>718.15360189460807</c:v>
                </c:pt>
                <c:pt idx="9">
                  <c:v>718.15360189460807</c:v>
                </c:pt>
                <c:pt idx="10">
                  <c:v>718.15360189460807</c:v>
                </c:pt>
                <c:pt idx="11">
                  <c:v>718.15360189460807</c:v>
                </c:pt>
                <c:pt idx="12">
                  <c:v>718.15360189460807</c:v>
                </c:pt>
                <c:pt idx="13">
                  <c:v>718.15360189460807</c:v>
                </c:pt>
                <c:pt idx="14">
                  <c:v>718.15360189460807</c:v>
                </c:pt>
                <c:pt idx="15">
                  <c:v>718.15360189460807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34-4542-82C6-3D466FAFE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345200"/>
        <c:axId val="340346160"/>
      </c:lineChart>
      <c:catAx>
        <c:axId val="34034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346160"/>
        <c:crosses val="autoZero"/>
        <c:auto val="1"/>
        <c:lblAlgn val="ctr"/>
        <c:lblOffset val="100"/>
        <c:noMultiLvlLbl val="0"/>
      </c:catAx>
      <c:valAx>
        <c:axId val="340346160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34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'Baseline plus Seasonality'!$J$5</c:f>
              <c:strCache>
                <c:ptCount val="1"/>
                <c:pt idx="0">
                  <c:v>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'Baseline plus Seasonality'!$I$6:$I$21</c:f>
              <c:strCache>
                <c:ptCount val="16"/>
                <c:pt idx="0">
                  <c:v>19Q1</c:v>
                </c:pt>
                <c:pt idx="1">
                  <c:v>19Q2</c:v>
                </c:pt>
                <c:pt idx="2">
                  <c:v>19Q3</c:v>
                </c:pt>
                <c:pt idx="3">
                  <c:v>19Q4</c:v>
                </c:pt>
                <c:pt idx="4">
                  <c:v>20Q1</c:v>
                </c:pt>
                <c:pt idx="5">
                  <c:v>20Q2</c:v>
                </c:pt>
                <c:pt idx="6">
                  <c:v>20Q3</c:v>
                </c:pt>
                <c:pt idx="7">
                  <c:v>20Q4</c:v>
                </c:pt>
                <c:pt idx="8">
                  <c:v>21Q1</c:v>
                </c:pt>
                <c:pt idx="9">
                  <c:v>21Q2</c:v>
                </c:pt>
                <c:pt idx="10">
                  <c:v>21Q3</c:v>
                </c:pt>
                <c:pt idx="11">
                  <c:v>21Q4</c:v>
                </c:pt>
                <c:pt idx="12">
                  <c:v>22Q1</c:v>
                </c:pt>
                <c:pt idx="13">
                  <c:v>22Q2</c:v>
                </c:pt>
                <c:pt idx="14">
                  <c:v>22Q3</c:v>
                </c:pt>
                <c:pt idx="15">
                  <c:v>22Q4</c:v>
                </c:pt>
              </c:strCache>
            </c:strRef>
          </c:cat>
          <c:val>
            <c:numRef>
              <c:f>'Baseline plus Seasonality'!$J$6:$J$21</c:f>
              <c:numCache>
                <c:formatCode>General</c:formatCode>
                <c:ptCount val="16"/>
                <c:pt idx="0">
                  <c:v>155</c:v>
                </c:pt>
                <c:pt idx="1">
                  <c:v>310</c:v>
                </c:pt>
                <c:pt idx="2">
                  <c:v>418</c:v>
                </c:pt>
                <c:pt idx="3">
                  <c:v>69</c:v>
                </c:pt>
                <c:pt idx="4">
                  <c:v>153</c:v>
                </c:pt>
                <c:pt idx="5">
                  <c:v>325</c:v>
                </c:pt>
                <c:pt idx="6">
                  <c:v>421</c:v>
                </c:pt>
                <c:pt idx="7">
                  <c:v>83</c:v>
                </c:pt>
                <c:pt idx="8">
                  <c:v>149</c:v>
                </c:pt>
                <c:pt idx="9">
                  <c:v>279</c:v>
                </c:pt>
                <c:pt idx="10">
                  <c:v>443</c:v>
                </c:pt>
                <c:pt idx="11">
                  <c:v>76</c:v>
                </c:pt>
                <c:pt idx="12">
                  <c:v>131</c:v>
                </c:pt>
                <c:pt idx="13">
                  <c:v>259</c:v>
                </c:pt>
                <c:pt idx="14">
                  <c:v>397</c:v>
                </c:pt>
                <c:pt idx="1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B-4C7A-8DAB-FCCB002F2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991008"/>
        <c:axId val="1949992256"/>
      </c:lineChart>
      <c:catAx>
        <c:axId val="194999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992256"/>
        <c:crosses val="autoZero"/>
        <c:auto val="1"/>
        <c:lblAlgn val="ctr"/>
        <c:lblOffset val="100"/>
        <c:noMultiLvlLbl val="0"/>
      </c:catAx>
      <c:valAx>
        <c:axId val="19499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99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'Baseline plus Seasonality'!$J$24</c:f>
              <c:strCache>
                <c:ptCount val="1"/>
                <c:pt idx="0">
                  <c:v>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4134861105652058E-2"/>
                  <c:y val="-0.407635521775215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'Baseline plus Seasonality'!$I$25:$I$40</c:f>
              <c:strCache>
                <c:ptCount val="16"/>
                <c:pt idx="0">
                  <c:v>19Q1</c:v>
                </c:pt>
                <c:pt idx="1">
                  <c:v>19Q2</c:v>
                </c:pt>
                <c:pt idx="2">
                  <c:v>19Q3</c:v>
                </c:pt>
                <c:pt idx="3">
                  <c:v>19Q4</c:v>
                </c:pt>
                <c:pt idx="4">
                  <c:v>20Q1</c:v>
                </c:pt>
                <c:pt idx="5">
                  <c:v>20Q2</c:v>
                </c:pt>
                <c:pt idx="6">
                  <c:v>20Q3</c:v>
                </c:pt>
                <c:pt idx="7">
                  <c:v>20Q4</c:v>
                </c:pt>
                <c:pt idx="8">
                  <c:v>21Q1</c:v>
                </c:pt>
                <c:pt idx="9">
                  <c:v>21Q2</c:v>
                </c:pt>
                <c:pt idx="10">
                  <c:v>21Q3</c:v>
                </c:pt>
                <c:pt idx="11">
                  <c:v>21Q4</c:v>
                </c:pt>
                <c:pt idx="12">
                  <c:v>22Q1</c:v>
                </c:pt>
                <c:pt idx="13">
                  <c:v>22Q2</c:v>
                </c:pt>
                <c:pt idx="14">
                  <c:v>22Q3</c:v>
                </c:pt>
                <c:pt idx="15">
                  <c:v>22Q4</c:v>
                </c:pt>
              </c:strCache>
            </c:strRef>
          </c:cat>
          <c:val>
            <c:numRef>
              <c:f>'Baseline plus Seasonality'!$J$25:$J$40</c:f>
              <c:numCache>
                <c:formatCode>0.0</c:formatCode>
                <c:ptCount val="16"/>
                <c:pt idx="0">
                  <c:v>247.25616214112921</c:v>
                </c:pt>
                <c:pt idx="1">
                  <c:v>248.08153917211195</c:v>
                </c:pt>
                <c:pt idx="2">
                  <c:v>233.13418655484901</c:v>
                </c:pt>
                <c:pt idx="3">
                  <c:v>208.72925039203994</c:v>
                </c:pt>
                <c:pt idx="4">
                  <c:v>244.06576004898562</c:v>
                </c:pt>
                <c:pt idx="5">
                  <c:v>260.0854846159238</c:v>
                </c:pt>
                <c:pt idx="6">
                  <c:v>234.8073984200752</c:v>
                </c:pt>
                <c:pt idx="7">
                  <c:v>251.08011279042486</c:v>
                </c:pt>
                <c:pt idx="8">
                  <c:v>237.6849558646984</c:v>
                </c:pt>
                <c:pt idx="9">
                  <c:v>223.27338525490075</c:v>
                </c:pt>
                <c:pt idx="10">
                  <c:v>247.07761876506726</c:v>
                </c:pt>
                <c:pt idx="11">
                  <c:v>229.90468159123242</c:v>
                </c:pt>
                <c:pt idx="12">
                  <c:v>208.97133703540598</c:v>
                </c:pt>
                <c:pt idx="13">
                  <c:v>207.26812466315158</c:v>
                </c:pt>
                <c:pt idx="14">
                  <c:v>221.42170349826569</c:v>
                </c:pt>
                <c:pt idx="15">
                  <c:v>245.02998959065559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43-44B5-9034-7A81B4D8A485}"/>
            </c:ext>
          </c:extLst>
        </c:ser>
        <c:ser>
          <c:idx val="1"/>
          <c:order val="1"/>
          <c:tx>
            <c:strRef>
              <c:f>'Baseline plus Seasonality'!$K$24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'Baseline plus Seasonality'!$I$25:$I$40</c:f>
              <c:strCache>
                <c:ptCount val="16"/>
                <c:pt idx="0">
                  <c:v>19Q1</c:v>
                </c:pt>
                <c:pt idx="1">
                  <c:v>19Q2</c:v>
                </c:pt>
                <c:pt idx="2">
                  <c:v>19Q3</c:v>
                </c:pt>
                <c:pt idx="3">
                  <c:v>19Q4</c:v>
                </c:pt>
                <c:pt idx="4">
                  <c:v>20Q1</c:v>
                </c:pt>
                <c:pt idx="5">
                  <c:v>20Q2</c:v>
                </c:pt>
                <c:pt idx="6">
                  <c:v>20Q3</c:v>
                </c:pt>
                <c:pt idx="7">
                  <c:v>20Q4</c:v>
                </c:pt>
                <c:pt idx="8">
                  <c:v>21Q1</c:v>
                </c:pt>
                <c:pt idx="9">
                  <c:v>21Q2</c:v>
                </c:pt>
                <c:pt idx="10">
                  <c:v>21Q3</c:v>
                </c:pt>
                <c:pt idx="11">
                  <c:v>21Q4</c:v>
                </c:pt>
                <c:pt idx="12">
                  <c:v>22Q1</c:v>
                </c:pt>
                <c:pt idx="13">
                  <c:v>22Q2</c:v>
                </c:pt>
                <c:pt idx="14">
                  <c:v>22Q3</c:v>
                </c:pt>
                <c:pt idx="15">
                  <c:v>22Q4</c:v>
                </c:pt>
              </c:strCache>
            </c:strRef>
          </c:cat>
          <c:val>
            <c:numRef>
              <c:f>'Baseline plus Seasonality'!$K$25:$K$40</c:f>
              <c:numCache>
                <c:formatCode>0.0</c:formatCode>
                <c:ptCount val="16"/>
                <c:pt idx="0">
                  <c:v>234.24198064993234</c:v>
                </c:pt>
                <c:pt idx="1">
                  <c:v>234.24198064993234</c:v>
                </c:pt>
                <c:pt idx="2">
                  <c:v>234.24198064993234</c:v>
                </c:pt>
                <c:pt idx="3">
                  <c:v>234.24198064993234</c:v>
                </c:pt>
                <c:pt idx="4">
                  <c:v>234.24198064993234</c:v>
                </c:pt>
                <c:pt idx="5">
                  <c:v>234.24198064993234</c:v>
                </c:pt>
                <c:pt idx="6">
                  <c:v>234.24198064993234</c:v>
                </c:pt>
                <c:pt idx="7">
                  <c:v>234.24198064993234</c:v>
                </c:pt>
                <c:pt idx="8">
                  <c:v>234.24198064993234</c:v>
                </c:pt>
                <c:pt idx="9">
                  <c:v>234.24198064993234</c:v>
                </c:pt>
                <c:pt idx="10">
                  <c:v>234.24198064993234</c:v>
                </c:pt>
                <c:pt idx="11">
                  <c:v>234.24198064993234</c:v>
                </c:pt>
                <c:pt idx="12">
                  <c:v>234.24198064993234</c:v>
                </c:pt>
                <c:pt idx="13">
                  <c:v>234.24198064993234</c:v>
                </c:pt>
                <c:pt idx="14">
                  <c:v>234.24198064993234</c:v>
                </c:pt>
                <c:pt idx="15">
                  <c:v>234.24198064993234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43-44B5-9034-7A81B4D8A485}"/>
            </c:ext>
          </c:extLst>
        </c:ser>
        <c:ser>
          <c:idx val="2"/>
          <c:order val="2"/>
          <c:tx>
            <c:strRef>
              <c:f>'Baseline plus Seasonality'!$L$24</c:f>
              <c:strCache>
                <c:ptCount val="1"/>
                <c:pt idx="0">
                  <c:v>Exp. Upper Limit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'Baseline plus Seasonality'!$I$25:$I$40</c:f>
              <c:strCache>
                <c:ptCount val="16"/>
                <c:pt idx="0">
                  <c:v>19Q1</c:v>
                </c:pt>
                <c:pt idx="1">
                  <c:v>19Q2</c:v>
                </c:pt>
                <c:pt idx="2">
                  <c:v>19Q3</c:v>
                </c:pt>
                <c:pt idx="3">
                  <c:v>19Q4</c:v>
                </c:pt>
                <c:pt idx="4">
                  <c:v>20Q1</c:v>
                </c:pt>
                <c:pt idx="5">
                  <c:v>20Q2</c:v>
                </c:pt>
                <c:pt idx="6">
                  <c:v>20Q3</c:v>
                </c:pt>
                <c:pt idx="7">
                  <c:v>20Q4</c:v>
                </c:pt>
                <c:pt idx="8">
                  <c:v>21Q1</c:v>
                </c:pt>
                <c:pt idx="9">
                  <c:v>21Q2</c:v>
                </c:pt>
                <c:pt idx="10">
                  <c:v>21Q3</c:v>
                </c:pt>
                <c:pt idx="11">
                  <c:v>21Q4</c:v>
                </c:pt>
                <c:pt idx="12">
                  <c:v>22Q1</c:v>
                </c:pt>
                <c:pt idx="13">
                  <c:v>22Q2</c:v>
                </c:pt>
                <c:pt idx="14">
                  <c:v>22Q3</c:v>
                </c:pt>
                <c:pt idx="15">
                  <c:v>22Q4</c:v>
                </c:pt>
              </c:strCache>
            </c:strRef>
          </c:cat>
          <c:val>
            <c:numRef>
              <c:f>'Baseline plus Seasonality'!$L$25:$L$40</c:f>
              <c:numCache>
                <c:formatCode>0.0</c:formatCode>
                <c:ptCount val="16"/>
                <c:pt idx="0">
                  <c:v>283.37809498932256</c:v>
                </c:pt>
                <c:pt idx="1">
                  <c:v>283.37809498932256</c:v>
                </c:pt>
                <c:pt idx="2">
                  <c:v>283.37809498932256</c:v>
                </c:pt>
                <c:pt idx="3">
                  <c:v>283.37809498932256</c:v>
                </c:pt>
                <c:pt idx="4">
                  <c:v>283.37809498932256</c:v>
                </c:pt>
                <c:pt idx="5">
                  <c:v>283.37809498932256</c:v>
                </c:pt>
                <c:pt idx="6">
                  <c:v>283.37809498932256</c:v>
                </c:pt>
                <c:pt idx="7">
                  <c:v>283.37809498932256</c:v>
                </c:pt>
                <c:pt idx="8">
                  <c:v>283.37809498932256</c:v>
                </c:pt>
                <c:pt idx="9">
                  <c:v>283.37809498932256</c:v>
                </c:pt>
                <c:pt idx="10">
                  <c:v>283.37809498932256</c:v>
                </c:pt>
                <c:pt idx="11">
                  <c:v>283.37809498932256</c:v>
                </c:pt>
                <c:pt idx="12">
                  <c:v>283.37809498932256</c:v>
                </c:pt>
                <c:pt idx="13">
                  <c:v>283.37809498932256</c:v>
                </c:pt>
                <c:pt idx="14">
                  <c:v>283.37809498932256</c:v>
                </c:pt>
                <c:pt idx="15">
                  <c:v>283.37809498932256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43-44B5-9034-7A81B4D8A485}"/>
            </c:ext>
          </c:extLst>
        </c:ser>
        <c:ser>
          <c:idx val="3"/>
          <c:order val="3"/>
          <c:tx>
            <c:strRef>
              <c:f>'Baseline plus Seasonality'!$M$24</c:f>
              <c:strCache>
                <c:ptCount val="1"/>
                <c:pt idx="0">
                  <c:v>Exp. Lower Limit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'Baseline plus Seasonality'!$I$25:$I$40</c:f>
              <c:strCache>
                <c:ptCount val="16"/>
                <c:pt idx="0">
                  <c:v>19Q1</c:v>
                </c:pt>
                <c:pt idx="1">
                  <c:v>19Q2</c:v>
                </c:pt>
                <c:pt idx="2">
                  <c:v>19Q3</c:v>
                </c:pt>
                <c:pt idx="3">
                  <c:v>19Q4</c:v>
                </c:pt>
                <c:pt idx="4">
                  <c:v>20Q1</c:v>
                </c:pt>
                <c:pt idx="5">
                  <c:v>20Q2</c:v>
                </c:pt>
                <c:pt idx="6">
                  <c:v>20Q3</c:v>
                </c:pt>
                <c:pt idx="7">
                  <c:v>20Q4</c:v>
                </c:pt>
                <c:pt idx="8">
                  <c:v>21Q1</c:v>
                </c:pt>
                <c:pt idx="9">
                  <c:v>21Q2</c:v>
                </c:pt>
                <c:pt idx="10">
                  <c:v>21Q3</c:v>
                </c:pt>
                <c:pt idx="11">
                  <c:v>21Q4</c:v>
                </c:pt>
                <c:pt idx="12">
                  <c:v>22Q1</c:v>
                </c:pt>
                <c:pt idx="13">
                  <c:v>22Q2</c:v>
                </c:pt>
                <c:pt idx="14">
                  <c:v>22Q3</c:v>
                </c:pt>
                <c:pt idx="15">
                  <c:v>22Q4</c:v>
                </c:pt>
              </c:strCache>
            </c:strRef>
          </c:cat>
          <c:val>
            <c:numRef>
              <c:f>'Baseline plus Seasonality'!$M$25:$M$40</c:f>
              <c:numCache>
                <c:formatCode>0.0</c:formatCode>
                <c:ptCount val="16"/>
                <c:pt idx="0">
                  <c:v>185.1058663105421</c:v>
                </c:pt>
                <c:pt idx="1">
                  <c:v>185.1058663105421</c:v>
                </c:pt>
                <c:pt idx="2">
                  <c:v>185.1058663105421</c:v>
                </c:pt>
                <c:pt idx="3">
                  <c:v>185.1058663105421</c:v>
                </c:pt>
                <c:pt idx="4">
                  <c:v>185.1058663105421</c:v>
                </c:pt>
                <c:pt idx="5">
                  <c:v>185.1058663105421</c:v>
                </c:pt>
                <c:pt idx="6">
                  <c:v>185.1058663105421</c:v>
                </c:pt>
                <c:pt idx="7">
                  <c:v>185.1058663105421</c:v>
                </c:pt>
                <c:pt idx="8">
                  <c:v>185.1058663105421</c:v>
                </c:pt>
                <c:pt idx="9">
                  <c:v>185.1058663105421</c:v>
                </c:pt>
                <c:pt idx="10">
                  <c:v>185.1058663105421</c:v>
                </c:pt>
                <c:pt idx="11">
                  <c:v>185.1058663105421</c:v>
                </c:pt>
                <c:pt idx="12">
                  <c:v>185.1058663105421</c:v>
                </c:pt>
                <c:pt idx="13">
                  <c:v>185.1058663105421</c:v>
                </c:pt>
                <c:pt idx="14">
                  <c:v>185.1058663105421</c:v>
                </c:pt>
                <c:pt idx="15">
                  <c:v>185.1058663105421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43-44B5-9034-7A81B4D8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1391535"/>
        <c:axId val="1591404431"/>
      </c:lineChart>
      <c:catAx>
        <c:axId val="159139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04431"/>
        <c:crosses val="autoZero"/>
        <c:auto val="1"/>
        <c:lblAlgn val="ctr"/>
        <c:lblOffset val="100"/>
        <c:noMultiLvlLbl val="0"/>
      </c:catAx>
      <c:valAx>
        <c:axId val="1591404431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'Baseline plus Trend'!$H$5:$H$20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865-48D8-872B-F81B7DA3A52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9023243527700876E-3"/>
                  <c:y val="-0.166176041180202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'Baseline plus Trend'!$I$5:$I$20</c:f>
              <c:numCache>
                <c:formatCode>General</c:formatCode>
                <c:ptCount val="16"/>
                <c:pt idx="0">
                  <c:v>539</c:v>
                </c:pt>
                <c:pt idx="1">
                  <c:v>670</c:v>
                </c:pt>
                <c:pt idx="2">
                  <c:v>903</c:v>
                </c:pt>
                <c:pt idx="3">
                  <c:v>745</c:v>
                </c:pt>
                <c:pt idx="4">
                  <c:v>1134</c:v>
                </c:pt>
                <c:pt idx="5">
                  <c:v>1411</c:v>
                </c:pt>
                <c:pt idx="6">
                  <c:v>1332</c:v>
                </c:pt>
                <c:pt idx="7">
                  <c:v>1646</c:v>
                </c:pt>
                <c:pt idx="8">
                  <c:v>1820</c:v>
                </c:pt>
                <c:pt idx="9">
                  <c:v>1497</c:v>
                </c:pt>
                <c:pt idx="10">
                  <c:v>1945</c:v>
                </c:pt>
                <c:pt idx="11">
                  <c:v>1888</c:v>
                </c:pt>
                <c:pt idx="12">
                  <c:v>2153</c:v>
                </c:pt>
                <c:pt idx="13">
                  <c:v>2223</c:v>
                </c:pt>
                <c:pt idx="14">
                  <c:v>2027</c:v>
                </c:pt>
                <c:pt idx="15">
                  <c:v>2389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865-48D8-872B-F81B7DA3A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107056"/>
        <c:axId val="279099856"/>
      </c:lineChart>
      <c:catAx>
        <c:axId val="279107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099856"/>
        <c:crosses val="autoZero"/>
        <c:auto val="1"/>
        <c:lblAlgn val="ctr"/>
        <c:lblOffset val="100"/>
        <c:noMultiLvlLbl val="0"/>
      </c:catAx>
      <c:valAx>
        <c:axId val="27909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0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Unit Sold</a:t>
            </a:r>
            <a:r>
              <a:rPr lang="en-CA" baseline="0"/>
              <a:t> - Raw Data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3.7411502760468437E-2"/>
          <c:y val="0.14663979094119883"/>
          <c:w val="0.95015158873271288"/>
          <c:h val="0.7738383480644721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417918852065324"/>
                  <c:y val="-0.379467894899923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'Baseline, Trend and Seasonality'!$I$6:$I$21</c:f>
              <c:strCache>
                <c:ptCount val="16"/>
                <c:pt idx="0">
                  <c:v>19Q1</c:v>
                </c:pt>
                <c:pt idx="1">
                  <c:v>19Q2</c:v>
                </c:pt>
                <c:pt idx="2">
                  <c:v>19Q3</c:v>
                </c:pt>
                <c:pt idx="3">
                  <c:v>19Q4</c:v>
                </c:pt>
                <c:pt idx="4">
                  <c:v>20Q1</c:v>
                </c:pt>
                <c:pt idx="5">
                  <c:v>20Q2</c:v>
                </c:pt>
                <c:pt idx="6">
                  <c:v>20Q3</c:v>
                </c:pt>
                <c:pt idx="7">
                  <c:v>20Q4</c:v>
                </c:pt>
                <c:pt idx="8">
                  <c:v>21Q1</c:v>
                </c:pt>
                <c:pt idx="9">
                  <c:v>21Q2</c:v>
                </c:pt>
                <c:pt idx="10">
                  <c:v>21Q3</c:v>
                </c:pt>
                <c:pt idx="11">
                  <c:v>21Q4</c:v>
                </c:pt>
                <c:pt idx="12">
                  <c:v>22Q1</c:v>
                </c:pt>
                <c:pt idx="13">
                  <c:v>22Q2</c:v>
                </c:pt>
                <c:pt idx="14">
                  <c:v>22Q3</c:v>
                </c:pt>
                <c:pt idx="15">
                  <c:v>22Q4</c:v>
                </c:pt>
              </c:strCache>
            </c:strRef>
          </c:cat>
          <c:val>
            <c:numRef>
              <c:f>'Baseline, Trend and Seasonality'!$J$6:$J$21</c:f>
              <c:numCache>
                <c:formatCode>General</c:formatCode>
                <c:ptCount val="16"/>
                <c:pt idx="0">
                  <c:v>448</c:v>
                </c:pt>
                <c:pt idx="1">
                  <c:v>1654</c:v>
                </c:pt>
                <c:pt idx="2">
                  <c:v>928</c:v>
                </c:pt>
                <c:pt idx="3">
                  <c:v>2177</c:v>
                </c:pt>
                <c:pt idx="4">
                  <c:v>756</c:v>
                </c:pt>
                <c:pt idx="5">
                  <c:v>1801</c:v>
                </c:pt>
                <c:pt idx="6">
                  <c:v>1273</c:v>
                </c:pt>
                <c:pt idx="7">
                  <c:v>2710</c:v>
                </c:pt>
                <c:pt idx="8">
                  <c:v>925</c:v>
                </c:pt>
                <c:pt idx="9">
                  <c:v>2492</c:v>
                </c:pt>
                <c:pt idx="10">
                  <c:v>1477</c:v>
                </c:pt>
                <c:pt idx="11">
                  <c:v>3381</c:v>
                </c:pt>
                <c:pt idx="12">
                  <c:v>1017</c:v>
                </c:pt>
                <c:pt idx="13">
                  <c:v>3058</c:v>
                </c:pt>
                <c:pt idx="14">
                  <c:v>2120</c:v>
                </c:pt>
                <c:pt idx="15">
                  <c:v>4471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3-4CC1-B5BA-54E429BF6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5547104"/>
        <c:axId val="525532704"/>
      </c:lineChart>
      <c:catAx>
        <c:axId val="52554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32704"/>
        <c:crosses val="autoZero"/>
        <c:auto val="1"/>
        <c:lblAlgn val="ctr"/>
        <c:lblOffset val="100"/>
        <c:noMultiLvlLbl val="0"/>
      </c:catAx>
      <c:valAx>
        <c:axId val="5255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4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Unit Sold - Deseasonalized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4784295634911851E-3"/>
                  <c:y val="-0.13194308786183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'Baseline, Trend and Seasonality'!$I$25:$I$40</c:f>
              <c:strCache>
                <c:ptCount val="16"/>
                <c:pt idx="0">
                  <c:v>19Q1</c:v>
                </c:pt>
                <c:pt idx="1">
                  <c:v>19Q2</c:v>
                </c:pt>
                <c:pt idx="2">
                  <c:v>19Q3</c:v>
                </c:pt>
                <c:pt idx="3">
                  <c:v>19Q4</c:v>
                </c:pt>
                <c:pt idx="4">
                  <c:v>20Q1</c:v>
                </c:pt>
                <c:pt idx="5">
                  <c:v>20Q2</c:v>
                </c:pt>
                <c:pt idx="6">
                  <c:v>20Q3</c:v>
                </c:pt>
                <c:pt idx="7">
                  <c:v>20Q4</c:v>
                </c:pt>
                <c:pt idx="8">
                  <c:v>21Q1</c:v>
                </c:pt>
                <c:pt idx="9">
                  <c:v>21Q2</c:v>
                </c:pt>
                <c:pt idx="10">
                  <c:v>21Q3</c:v>
                </c:pt>
                <c:pt idx="11">
                  <c:v>21Q4</c:v>
                </c:pt>
                <c:pt idx="12">
                  <c:v>22Q1</c:v>
                </c:pt>
                <c:pt idx="13">
                  <c:v>22Q2</c:v>
                </c:pt>
                <c:pt idx="14">
                  <c:v>22Q3</c:v>
                </c:pt>
                <c:pt idx="15">
                  <c:v>22Q4</c:v>
                </c:pt>
              </c:strCache>
            </c:strRef>
          </c:cat>
          <c:val>
            <c:numRef>
              <c:f>'Baseline, Trend and Seasonality'!$J$25:$J$40</c:f>
              <c:numCache>
                <c:formatCode>0.0</c:formatCode>
                <c:ptCount val="16"/>
                <c:pt idx="0">
                  <c:v>1095.9801089199714</c:v>
                </c:pt>
                <c:pt idx="1">
                  <c:v>1400.6443885607914</c:v>
                </c:pt>
                <c:pt idx="2">
                  <c:v>1237.1324371914673</c:v>
                </c:pt>
                <c:pt idx="3">
                  <c:v>1311.2667641634907</c:v>
                </c:pt>
                <c:pt idx="4">
                  <c:v>1849.4664338024518</c:v>
                </c:pt>
                <c:pt idx="5">
                  <c:v>1525.1272937109948</c:v>
                </c:pt>
                <c:pt idx="6">
                  <c:v>1697.0577505870021</c:v>
                </c:pt>
                <c:pt idx="7">
                  <c:v>1632.3072718801377</c:v>
                </c:pt>
                <c:pt idx="8">
                  <c:v>2262.9053588191373</c:v>
                </c:pt>
                <c:pt idx="9">
                  <c:v>2110.281630165352</c:v>
                </c:pt>
                <c:pt idx="10">
                  <c:v>1969.0135880730575</c:v>
                </c:pt>
                <c:pt idx="11">
                  <c:v>2036.4689617072863</c:v>
                </c:pt>
                <c:pt idx="12">
                  <c:v>2487.9727026152032</c:v>
                </c:pt>
                <c:pt idx="13">
                  <c:v>2589.5831561178356</c:v>
                </c:pt>
                <c:pt idx="14">
                  <c:v>2826.2077228943003</c:v>
                </c:pt>
                <c:pt idx="15">
                  <c:v>2693.0058348989282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A9-4072-863C-1C0A97F35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624496"/>
        <c:axId val="211861728"/>
      </c:lineChart>
      <c:catAx>
        <c:axId val="43862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1728"/>
        <c:crosses val="autoZero"/>
        <c:auto val="1"/>
        <c:lblAlgn val="ctr"/>
        <c:lblOffset val="100"/>
        <c:noMultiLvlLbl val="0"/>
      </c:catAx>
      <c:valAx>
        <c:axId val="21186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2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Demand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Demand Distribution</a:t>
          </a:r>
        </a:p>
      </cx:txPr>
    </cx:title>
    <cx:plotArea>
      <cx:plotAreaRegion>
        <cx:series layoutId="clusteredColumn" uniqueId="{1D6C480B-AA0C-4E1D-A0DD-D6E44C709391}"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Demends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Demends Distribution</a:t>
          </a:r>
        </a:p>
      </cx:txPr>
    </cx:title>
    <cx:plotArea>
      <cx:plotAreaRegion>
        <cx:series layoutId="clusteredColumn" uniqueId="{A97935D3-8097-4D20-B3AD-230E616CA652}">
          <cx:dataId val="0"/>
          <cx:layoutPr>
            <cx:binning intervalClosed="r">
              <cx:binSize val="8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Demand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Demand Distribution</a:t>
          </a:r>
        </a:p>
      </cx:txPr>
    </cx:title>
    <cx:plotArea>
      <cx:plotAreaRegion>
        <cx:series layoutId="clusteredColumn" uniqueId="{D81566CD-06BC-4461-8902-35362C45D11D}">
          <cx:dataId val="0"/>
          <cx:layoutPr>
            <cx:binning intervalClosed="r">
              <cx:binSize val="18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599033</xdr:colOff>
      <xdr:row>2</xdr:row>
      <xdr:rowOff>187297</xdr:rowOff>
    </xdr:from>
    <xdr:to>
      <xdr:col>26</xdr:col>
      <xdr:colOff>374917</xdr:colOff>
      <xdr:row>21</xdr:row>
      <xdr:rowOff>18890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9B4B45-1D15-7BE1-F49C-C3C827C84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3202</xdr:colOff>
      <xdr:row>23</xdr:row>
      <xdr:rowOff>16647</xdr:rowOff>
    </xdr:from>
    <xdr:to>
      <xdr:col>7</xdr:col>
      <xdr:colOff>913120</xdr:colOff>
      <xdr:row>37</xdr:row>
      <xdr:rowOff>163604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653DF721-84E3-F68F-C062-BD5D80CF3A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852" y="4407672"/>
              <a:ext cx="4272243" cy="28234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4</xdr:row>
      <xdr:rowOff>33336</xdr:rowOff>
    </xdr:from>
    <xdr:to>
      <xdr:col>24</xdr:col>
      <xdr:colOff>581024</xdr:colOff>
      <xdr:row>19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D90E14-9FE3-482E-8B9A-CED8C0A24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</xdr:row>
      <xdr:rowOff>19050</xdr:rowOff>
    </xdr:from>
    <xdr:to>
      <xdr:col>24</xdr:col>
      <xdr:colOff>590550</xdr:colOff>
      <xdr:row>1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7A966C2-5D16-4D57-81D8-9C265EC27F38}"/>
            </a:ext>
          </a:extLst>
        </xdr:cNvPr>
        <xdr:cNvCxnSpPr/>
      </xdr:nvCxnSpPr>
      <xdr:spPr>
        <a:xfrm>
          <a:off x="6524625" y="209550"/>
          <a:ext cx="8505825" cy="0"/>
        </a:xfrm>
        <a:prstGeom prst="line">
          <a:avLst/>
        </a:prstGeom>
        <a:ln w="222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170569</xdr:colOff>
      <xdr:row>22</xdr:row>
      <xdr:rowOff>153800</xdr:rowOff>
    </xdr:from>
    <xdr:to>
      <xdr:col>27</xdr:col>
      <xdr:colOff>109336</xdr:colOff>
      <xdr:row>37</xdr:row>
      <xdr:rowOff>161284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DB47E8-2125-4E1C-91EF-162401AE6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25613</xdr:colOff>
      <xdr:row>38</xdr:row>
      <xdr:rowOff>142795</xdr:rowOff>
    </xdr:from>
    <xdr:to>
      <xdr:col>6</xdr:col>
      <xdr:colOff>211311</xdr:colOff>
      <xdr:row>53</xdr:row>
      <xdr:rowOff>100534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E893BC1-B53D-9630-A8A3-885B2940F7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3263" y="7381795"/>
              <a:ext cx="4329073" cy="28152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483052</xdr:colOff>
      <xdr:row>3</xdr:row>
      <xdr:rowOff>152399</xdr:rowOff>
    </xdr:from>
    <xdr:to>
      <xdr:col>21</xdr:col>
      <xdr:colOff>517072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810DEA-EEFD-C525-7565-08660C025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13605</xdr:colOff>
      <xdr:row>26</xdr:row>
      <xdr:rowOff>172811</xdr:rowOff>
    </xdr:from>
    <xdr:to>
      <xdr:col>11</xdr:col>
      <xdr:colOff>6804</xdr:colOff>
      <xdr:row>43</xdr:row>
      <xdr:rowOff>40821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B729246-9361-6BA8-9B5D-B62BD89B25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255" y="5135336"/>
              <a:ext cx="6470199" cy="31541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1054554</xdr:colOff>
      <xdr:row>2</xdr:row>
      <xdr:rowOff>152398</xdr:rowOff>
    </xdr:from>
    <xdr:to>
      <xdr:col>26</xdr:col>
      <xdr:colOff>578302</xdr:colOff>
      <xdr:row>21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168A1B-1333-78DD-2B45-621851071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484410</xdr:colOff>
      <xdr:row>18</xdr:row>
      <xdr:rowOff>59531</xdr:rowOff>
    </xdr:from>
    <xdr:to>
      <xdr:col>26</xdr:col>
      <xdr:colOff>309560</xdr:colOff>
      <xdr:row>18</xdr:row>
      <xdr:rowOff>84363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4F635D1-1BB7-42C5-980F-C9F1F68A439E}"/>
            </a:ext>
          </a:extLst>
        </xdr:cNvPr>
        <xdr:cNvCxnSpPr/>
      </xdr:nvCxnSpPr>
      <xdr:spPr>
        <a:xfrm flipV="1">
          <a:off x="9021191" y="3488531"/>
          <a:ext cx="9743057" cy="24832"/>
        </a:xfrm>
        <a:prstGeom prst="line">
          <a:avLst/>
        </a:prstGeom>
        <a:ln w="222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1074963</xdr:colOff>
      <xdr:row>23</xdr:row>
      <xdr:rowOff>152400</xdr:rowOff>
    </xdr:from>
    <xdr:to>
      <xdr:col>27</xdr:col>
      <xdr:colOff>6803</xdr:colOff>
      <xdr:row>42</xdr:row>
      <xdr:rowOff>61232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59B23D-1071-CA86-E6B0-5B28576E1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6CF5B8-F2EC-44D9-8847-7AE272288AD0}" name="Table2" displayName="Table2" ref="B5:F9" totalsRowShown="0" headerRowDxfId="6" dataDxfId="5">
  <autoFilter ref="B5:F9" xr:uid="{B76CF5B8-F2EC-44D9-8847-7AE272288AD0}"/>
  <tableColumns count="5">
    <tableColumn id="1" xr3:uid="{BA6CBEA0-9D09-406E-90EE-5479AC66A4F2}" name="Column1" dataDxfId="4"/>
    <tableColumn id="2" xr3:uid="{1856DB34-2A64-4276-88C3-F0F875EB0053}" name="Q1" dataDxfId="3"/>
    <tableColumn id="3" xr3:uid="{D7347F2E-1CCB-40C7-BFE1-33A3FF34A102}" name="Q2" dataDxfId="2"/>
    <tableColumn id="4" xr3:uid="{F9589303-9A5F-4E02-AA92-F7D680787102}" name="Q3" dataDxfId="1"/>
    <tableColumn id="5" xr3:uid="{B6FE3DAB-6212-4885-838B-BBFCB4AF978D}" name="Q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2E89-B5AB-41BF-81F8-E7094774407E}">
  <dimension ref="A1:F33"/>
  <sheetViews>
    <sheetView zoomScale="85" zoomScaleNormal="85" workbookViewId="0">
      <selection activeCell="AD10" sqref="AD10"/>
    </sheetView>
  </sheetViews>
  <sheetFormatPr defaultRowHeight="15" x14ac:dyDescent="0.25"/>
  <cols>
    <col min="1" max="1" width="3.7109375" customWidth="1"/>
    <col min="7" max="7" width="3.7109375" customWidth="1"/>
  </cols>
  <sheetData>
    <row r="1" spans="1:6" x14ac:dyDescent="0.25">
      <c r="A1" t="s">
        <v>0</v>
      </c>
    </row>
    <row r="3" spans="1:6" s="2" customFormat="1" x14ac:dyDescent="0.25">
      <c r="B3" s="3" t="s">
        <v>7</v>
      </c>
    </row>
    <row r="4" spans="1:6" s="2" customFormat="1" x14ac:dyDescent="0.25">
      <c r="B4" s="3" t="s">
        <v>82</v>
      </c>
    </row>
    <row r="5" spans="1:6" s="2" customFormat="1" x14ac:dyDescent="0.25">
      <c r="C5" s="2" t="s">
        <v>1</v>
      </c>
      <c r="D5" s="2" t="s">
        <v>2</v>
      </c>
      <c r="E5" s="2" t="s">
        <v>3</v>
      </c>
      <c r="F5" s="2" t="s">
        <v>4</v>
      </c>
    </row>
    <row r="6" spans="1:6" s="2" customFormat="1" x14ac:dyDescent="0.25">
      <c r="B6" s="2">
        <v>2019</v>
      </c>
      <c r="C6" s="2">
        <v>793</v>
      </c>
      <c r="D6" s="2">
        <v>781</v>
      </c>
      <c r="E6" s="2">
        <v>816</v>
      </c>
      <c r="F6" s="2">
        <v>790</v>
      </c>
    </row>
    <row r="7" spans="1:6" s="2" customFormat="1" x14ac:dyDescent="0.25">
      <c r="B7" s="2">
        <v>2020</v>
      </c>
      <c r="C7" s="2">
        <v>836</v>
      </c>
      <c r="D7" s="2">
        <v>852</v>
      </c>
      <c r="E7" s="2">
        <v>877</v>
      </c>
      <c r="F7" s="2">
        <v>783</v>
      </c>
    </row>
    <row r="8" spans="1:6" s="2" customFormat="1" x14ac:dyDescent="0.25">
      <c r="B8" s="2">
        <v>2021</v>
      </c>
      <c r="C8" s="2">
        <v>804</v>
      </c>
      <c r="D8" s="2">
        <v>834</v>
      </c>
      <c r="E8" s="2">
        <v>824</v>
      </c>
      <c r="F8" s="2">
        <v>751</v>
      </c>
    </row>
    <row r="9" spans="1:6" s="2" customFormat="1" x14ac:dyDescent="0.25">
      <c r="B9" s="2">
        <v>2022</v>
      </c>
      <c r="C9" s="2">
        <v>807</v>
      </c>
      <c r="D9" s="2">
        <v>823</v>
      </c>
      <c r="E9" s="2">
        <v>789</v>
      </c>
      <c r="F9" s="2">
        <v>805</v>
      </c>
    </row>
    <row r="10" spans="1:6" s="2" customFormat="1" x14ac:dyDescent="0.25"/>
    <row r="11" spans="1:6" s="2" customFormat="1" x14ac:dyDescent="0.25">
      <c r="B11" s="3" t="s">
        <v>9</v>
      </c>
    </row>
    <row r="12" spans="1:6" s="2" customFormat="1" x14ac:dyDescent="0.25">
      <c r="B12" s="3" t="s">
        <v>83</v>
      </c>
    </row>
    <row r="13" spans="1:6" s="2" customFormat="1" x14ac:dyDescent="0.25">
      <c r="C13" s="2" t="s">
        <v>1</v>
      </c>
      <c r="D13" s="2" t="s">
        <v>2</v>
      </c>
      <c r="E13" s="2" t="s">
        <v>3</v>
      </c>
      <c r="F13" s="2" t="s">
        <v>4</v>
      </c>
    </row>
    <row r="14" spans="1:6" s="2" customFormat="1" x14ac:dyDescent="0.25">
      <c r="B14" s="2">
        <v>2019</v>
      </c>
      <c r="C14" s="2">
        <v>155</v>
      </c>
      <c r="D14" s="2">
        <v>310</v>
      </c>
      <c r="E14" s="2">
        <v>418</v>
      </c>
      <c r="F14" s="2">
        <v>69</v>
      </c>
    </row>
    <row r="15" spans="1:6" s="2" customFormat="1" x14ac:dyDescent="0.25">
      <c r="B15" s="2">
        <v>2020</v>
      </c>
      <c r="C15" s="2">
        <v>153</v>
      </c>
      <c r="D15" s="2">
        <v>325</v>
      </c>
      <c r="E15" s="2">
        <v>421</v>
      </c>
      <c r="F15" s="2">
        <v>83</v>
      </c>
    </row>
    <row r="16" spans="1:6" s="2" customFormat="1" x14ac:dyDescent="0.25">
      <c r="B16" s="2">
        <v>2021</v>
      </c>
      <c r="C16" s="2">
        <v>149</v>
      </c>
      <c r="D16" s="2">
        <v>279</v>
      </c>
      <c r="E16" s="2">
        <v>443</v>
      </c>
      <c r="F16" s="2">
        <v>76</v>
      </c>
    </row>
    <row r="17" spans="2:6" s="2" customFormat="1" x14ac:dyDescent="0.25">
      <c r="B17" s="2">
        <v>2022</v>
      </c>
      <c r="C17" s="2">
        <v>131</v>
      </c>
      <c r="D17" s="2">
        <v>259</v>
      </c>
      <c r="E17" s="2">
        <v>397</v>
      </c>
      <c r="F17" s="2">
        <v>81</v>
      </c>
    </row>
    <row r="18" spans="2:6" s="2" customFormat="1" x14ac:dyDescent="0.25"/>
    <row r="19" spans="2:6" s="2" customFormat="1" x14ac:dyDescent="0.25">
      <c r="B19" s="3" t="s">
        <v>8</v>
      </c>
    </row>
    <row r="20" spans="2:6" x14ac:dyDescent="0.25">
      <c r="B20" s="3" t="s">
        <v>11</v>
      </c>
      <c r="C20" s="2"/>
      <c r="D20" s="2"/>
      <c r="E20" s="2"/>
      <c r="F20" s="2"/>
    </row>
    <row r="21" spans="2:6" x14ac:dyDescent="0.25">
      <c r="B21" s="2"/>
      <c r="C21" s="2" t="s">
        <v>1</v>
      </c>
      <c r="D21" s="2" t="s">
        <v>2</v>
      </c>
      <c r="E21" s="2" t="s">
        <v>3</v>
      </c>
      <c r="F21" s="2" t="s">
        <v>4</v>
      </c>
    </row>
    <row r="22" spans="2:6" x14ac:dyDescent="0.25">
      <c r="B22" s="2">
        <v>2019</v>
      </c>
      <c r="C22" s="2">
        <v>539</v>
      </c>
      <c r="D22" s="2">
        <v>670</v>
      </c>
      <c r="E22" s="2">
        <v>903</v>
      </c>
      <c r="F22" s="2">
        <v>745</v>
      </c>
    </row>
    <row r="23" spans="2:6" x14ac:dyDescent="0.25">
      <c r="B23" s="2">
        <v>2020</v>
      </c>
      <c r="C23" s="2">
        <v>1134</v>
      </c>
      <c r="D23" s="2">
        <v>1411</v>
      </c>
      <c r="E23" s="2">
        <v>1332</v>
      </c>
      <c r="F23" s="2">
        <v>1646</v>
      </c>
    </row>
    <row r="24" spans="2:6" x14ac:dyDescent="0.25">
      <c r="B24" s="2">
        <v>2021</v>
      </c>
      <c r="C24" s="2">
        <v>1820</v>
      </c>
      <c r="D24" s="2">
        <v>1497</v>
      </c>
      <c r="E24" s="2">
        <v>1945</v>
      </c>
      <c r="F24" s="2">
        <v>1888</v>
      </c>
    </row>
    <row r="25" spans="2:6" x14ac:dyDescent="0.25">
      <c r="B25" s="2">
        <v>2022</v>
      </c>
      <c r="C25" s="2">
        <v>2153</v>
      </c>
      <c r="D25" s="2">
        <v>2223</v>
      </c>
      <c r="E25" s="2">
        <v>2027</v>
      </c>
      <c r="F25" s="2">
        <v>2389</v>
      </c>
    </row>
    <row r="27" spans="2:6" x14ac:dyDescent="0.25">
      <c r="B27" s="3" t="s">
        <v>10</v>
      </c>
      <c r="C27" s="2"/>
      <c r="D27" s="2"/>
      <c r="E27" s="2"/>
      <c r="F27" s="2"/>
    </row>
    <row r="28" spans="2:6" x14ac:dyDescent="0.25">
      <c r="B28" s="3" t="s">
        <v>84</v>
      </c>
      <c r="C28" s="2"/>
      <c r="D28" s="2"/>
      <c r="E28" s="2"/>
      <c r="F28" s="2"/>
    </row>
    <row r="29" spans="2:6" x14ac:dyDescent="0.25">
      <c r="B29" s="2"/>
      <c r="C29" s="2" t="s">
        <v>1</v>
      </c>
      <c r="D29" s="2" t="s">
        <v>2</v>
      </c>
      <c r="E29" s="2" t="s">
        <v>3</v>
      </c>
      <c r="F29" s="2" t="s">
        <v>4</v>
      </c>
    </row>
    <row r="30" spans="2:6" x14ac:dyDescent="0.25">
      <c r="B30" s="2">
        <v>2019</v>
      </c>
      <c r="C30" s="2">
        <v>448</v>
      </c>
      <c r="D30" s="2">
        <v>1654</v>
      </c>
      <c r="E30" s="2">
        <v>928</v>
      </c>
      <c r="F30" s="2">
        <v>2177</v>
      </c>
    </row>
    <row r="31" spans="2:6" x14ac:dyDescent="0.25">
      <c r="B31" s="2">
        <v>2020</v>
      </c>
      <c r="C31" s="2">
        <v>756</v>
      </c>
      <c r="D31" s="2">
        <v>1801</v>
      </c>
      <c r="E31" s="2">
        <v>1273</v>
      </c>
      <c r="F31" s="2">
        <v>2710</v>
      </c>
    </row>
    <row r="32" spans="2:6" x14ac:dyDescent="0.25">
      <c r="B32" s="2">
        <v>2021</v>
      </c>
      <c r="C32" s="2">
        <v>925</v>
      </c>
      <c r="D32" s="2">
        <v>2492</v>
      </c>
      <c r="E32" s="2">
        <v>1477</v>
      </c>
      <c r="F32" s="2">
        <v>3381</v>
      </c>
    </row>
    <row r="33" spans="2:6" x14ac:dyDescent="0.25">
      <c r="B33" s="2">
        <v>2022</v>
      </c>
      <c r="C33" s="2">
        <v>1017</v>
      </c>
      <c r="D33" s="2">
        <v>3058</v>
      </c>
      <c r="E33" s="2">
        <v>2120</v>
      </c>
      <c r="F33" s="2">
        <v>4471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88FB-B87F-4AAB-9772-67EB72C56914}">
  <dimension ref="A1:L42"/>
  <sheetViews>
    <sheetView tabSelected="1" zoomScale="85" zoomScaleNormal="85" workbookViewId="0">
      <selection activeCell="W29" sqref="W29"/>
    </sheetView>
  </sheetViews>
  <sheetFormatPr defaultRowHeight="15" x14ac:dyDescent="0.25"/>
  <cols>
    <col min="1" max="1" width="3.7109375" customWidth="1"/>
    <col min="2" max="2" width="10.140625" customWidth="1"/>
    <col min="7" max="7" width="3.7109375" customWidth="1"/>
    <col min="8" max="9" width="17.7109375" style="2" customWidth="1"/>
    <col min="10" max="12" width="17.7109375" customWidth="1"/>
  </cols>
  <sheetData>
    <row r="1" spans="1:12" x14ac:dyDescent="0.25">
      <c r="A1" t="s">
        <v>0</v>
      </c>
    </row>
    <row r="3" spans="1:12" s="2" customFormat="1" x14ac:dyDescent="0.25">
      <c r="B3" s="3" t="s">
        <v>7</v>
      </c>
    </row>
    <row r="4" spans="1:12" s="2" customFormat="1" x14ac:dyDescent="0.25">
      <c r="B4" s="3" t="s">
        <v>6</v>
      </c>
      <c r="H4" s="2" t="s">
        <v>43</v>
      </c>
      <c r="I4" s="2" t="s">
        <v>44</v>
      </c>
      <c r="J4" s="2" t="s">
        <v>30</v>
      </c>
      <c r="K4" s="2" t="s">
        <v>45</v>
      </c>
      <c r="L4" s="2" t="s">
        <v>46</v>
      </c>
    </row>
    <row r="5" spans="1:12" s="2" customFormat="1" x14ac:dyDescent="0.25">
      <c r="B5" s="2" t="s">
        <v>29</v>
      </c>
      <c r="C5" s="2" t="s">
        <v>1</v>
      </c>
      <c r="D5" s="2" t="s">
        <v>2</v>
      </c>
      <c r="E5" s="2" t="s">
        <v>3</v>
      </c>
      <c r="F5" s="2" t="s">
        <v>4</v>
      </c>
      <c r="H5" s="2" t="s">
        <v>13</v>
      </c>
      <c r="I5" s="2">
        <v>793</v>
      </c>
      <c r="J5" s="9">
        <f>AVERAGE($I$21)</f>
        <v>810.3125</v>
      </c>
      <c r="K5" s="4">
        <f>J5+3*$I$22</f>
        <v>902.47139810539193</v>
      </c>
      <c r="L5" s="4">
        <f>J5-3*$I$22</f>
        <v>718.15360189460807</v>
      </c>
    </row>
    <row r="6" spans="1:12" s="2" customFormat="1" x14ac:dyDescent="0.25">
      <c r="B6" s="2">
        <v>2019</v>
      </c>
      <c r="C6" s="2">
        <v>793</v>
      </c>
      <c r="D6" s="2">
        <v>781</v>
      </c>
      <c r="E6" s="2">
        <v>816</v>
      </c>
      <c r="F6" s="2">
        <v>790</v>
      </c>
      <c r="H6" s="2" t="s">
        <v>14</v>
      </c>
      <c r="I6" s="2">
        <v>781</v>
      </c>
      <c r="J6" s="9">
        <f t="shared" ref="J6:J20" si="0">AVERAGE($I$21)</f>
        <v>810.3125</v>
      </c>
      <c r="K6" s="4">
        <f t="shared" ref="K6:K20" si="1">J6+3*$I$22</f>
        <v>902.47139810539193</v>
      </c>
      <c r="L6" s="4">
        <f t="shared" ref="L6:L20" si="2">J6-3*$I$22</f>
        <v>718.15360189460807</v>
      </c>
    </row>
    <row r="7" spans="1:12" s="2" customFormat="1" x14ac:dyDescent="0.25">
      <c r="B7" s="2">
        <v>2020</v>
      </c>
      <c r="C7" s="2">
        <v>836</v>
      </c>
      <c r="D7" s="2">
        <v>852</v>
      </c>
      <c r="E7" s="2">
        <v>783</v>
      </c>
      <c r="F7" s="2">
        <v>877</v>
      </c>
      <c r="H7" s="2" t="s">
        <v>15</v>
      </c>
      <c r="I7" s="2">
        <v>816</v>
      </c>
      <c r="J7" s="9">
        <f t="shared" si="0"/>
        <v>810.3125</v>
      </c>
      <c r="K7" s="4">
        <f t="shared" si="1"/>
        <v>902.47139810539193</v>
      </c>
      <c r="L7" s="4">
        <f t="shared" si="2"/>
        <v>718.15360189460807</v>
      </c>
    </row>
    <row r="8" spans="1:12" s="2" customFormat="1" x14ac:dyDescent="0.25">
      <c r="B8" s="2">
        <v>2021</v>
      </c>
      <c r="C8" s="2">
        <v>834</v>
      </c>
      <c r="D8" s="2">
        <v>804</v>
      </c>
      <c r="E8" s="2">
        <v>824</v>
      </c>
      <c r="F8" s="2">
        <v>751</v>
      </c>
      <c r="H8" s="2" t="s">
        <v>16</v>
      </c>
      <c r="I8" s="2">
        <v>790</v>
      </c>
      <c r="J8" s="9">
        <f t="shared" si="0"/>
        <v>810.3125</v>
      </c>
      <c r="K8" s="4">
        <f t="shared" si="1"/>
        <v>902.47139810539193</v>
      </c>
      <c r="L8" s="4">
        <f t="shared" si="2"/>
        <v>718.15360189460807</v>
      </c>
    </row>
    <row r="9" spans="1:12" s="2" customFormat="1" x14ac:dyDescent="0.25">
      <c r="B9" s="2">
        <v>2022</v>
      </c>
      <c r="C9" s="2">
        <v>807</v>
      </c>
      <c r="D9" s="2">
        <v>823</v>
      </c>
      <c r="E9" s="2">
        <v>789</v>
      </c>
      <c r="F9" s="2">
        <v>805</v>
      </c>
      <c r="H9" s="2" t="s">
        <v>17</v>
      </c>
      <c r="I9" s="2">
        <v>836</v>
      </c>
      <c r="J9" s="9">
        <f t="shared" si="0"/>
        <v>810.3125</v>
      </c>
      <c r="K9" s="4">
        <f t="shared" si="1"/>
        <v>902.47139810539193</v>
      </c>
      <c r="L9" s="4">
        <f t="shared" si="2"/>
        <v>718.15360189460807</v>
      </c>
    </row>
    <row r="10" spans="1:12" s="2" customFormat="1" x14ac:dyDescent="0.25">
      <c r="H10" s="2" t="s">
        <v>18</v>
      </c>
      <c r="I10" s="2">
        <v>852</v>
      </c>
      <c r="J10" s="9">
        <f t="shared" si="0"/>
        <v>810.3125</v>
      </c>
      <c r="K10" s="4">
        <f t="shared" si="1"/>
        <v>902.47139810539193</v>
      </c>
      <c r="L10" s="4">
        <f t="shared" si="2"/>
        <v>718.15360189460807</v>
      </c>
    </row>
    <row r="11" spans="1:12" x14ac:dyDescent="0.25">
      <c r="H11" s="2" t="s">
        <v>19</v>
      </c>
      <c r="I11" s="2">
        <v>783</v>
      </c>
      <c r="J11" s="9">
        <f t="shared" si="0"/>
        <v>810.3125</v>
      </c>
      <c r="K11" s="4">
        <f t="shared" si="1"/>
        <v>902.47139810539193</v>
      </c>
      <c r="L11" s="4">
        <f t="shared" si="2"/>
        <v>718.15360189460807</v>
      </c>
    </row>
    <row r="12" spans="1:12" x14ac:dyDescent="0.25">
      <c r="H12" s="2" t="s">
        <v>20</v>
      </c>
      <c r="I12" s="2">
        <v>877</v>
      </c>
      <c r="J12" s="9">
        <f t="shared" si="0"/>
        <v>810.3125</v>
      </c>
      <c r="K12" s="4">
        <f t="shared" si="1"/>
        <v>902.47139810539193</v>
      </c>
      <c r="L12" s="4">
        <f t="shared" si="2"/>
        <v>718.15360189460807</v>
      </c>
    </row>
    <row r="13" spans="1:12" x14ac:dyDescent="0.25">
      <c r="H13" s="2" t="s">
        <v>21</v>
      </c>
      <c r="I13" s="2">
        <v>834</v>
      </c>
      <c r="J13" s="9">
        <f t="shared" si="0"/>
        <v>810.3125</v>
      </c>
      <c r="K13" s="4">
        <f t="shared" si="1"/>
        <v>902.47139810539193</v>
      </c>
      <c r="L13" s="4">
        <f t="shared" si="2"/>
        <v>718.15360189460807</v>
      </c>
    </row>
    <row r="14" spans="1:12" x14ac:dyDescent="0.25">
      <c r="H14" s="2" t="s">
        <v>22</v>
      </c>
      <c r="I14" s="2">
        <v>804</v>
      </c>
      <c r="J14" s="9">
        <f t="shared" si="0"/>
        <v>810.3125</v>
      </c>
      <c r="K14" s="4">
        <f t="shared" si="1"/>
        <v>902.47139810539193</v>
      </c>
      <c r="L14" s="4">
        <f t="shared" si="2"/>
        <v>718.15360189460807</v>
      </c>
    </row>
    <row r="15" spans="1:12" x14ac:dyDescent="0.25">
      <c r="H15" s="2" t="s">
        <v>23</v>
      </c>
      <c r="I15" s="2">
        <v>824</v>
      </c>
      <c r="J15" s="9">
        <f t="shared" si="0"/>
        <v>810.3125</v>
      </c>
      <c r="K15" s="4">
        <f t="shared" si="1"/>
        <v>902.47139810539193</v>
      </c>
      <c r="L15" s="4">
        <f t="shared" si="2"/>
        <v>718.15360189460807</v>
      </c>
    </row>
    <row r="16" spans="1:12" x14ac:dyDescent="0.25">
      <c r="H16" s="2" t="s">
        <v>24</v>
      </c>
      <c r="I16" s="2">
        <v>751</v>
      </c>
      <c r="J16" s="9">
        <f t="shared" si="0"/>
        <v>810.3125</v>
      </c>
      <c r="K16" s="4">
        <f t="shared" si="1"/>
        <v>902.47139810539193</v>
      </c>
      <c r="L16" s="4">
        <f t="shared" si="2"/>
        <v>718.15360189460807</v>
      </c>
    </row>
    <row r="17" spans="7:12" x14ac:dyDescent="0.25">
      <c r="H17" s="2" t="s">
        <v>25</v>
      </c>
      <c r="I17" s="2">
        <v>807</v>
      </c>
      <c r="J17" s="9">
        <f t="shared" si="0"/>
        <v>810.3125</v>
      </c>
      <c r="K17" s="4">
        <f t="shared" si="1"/>
        <v>902.47139810539193</v>
      </c>
      <c r="L17" s="4">
        <f t="shared" si="2"/>
        <v>718.15360189460807</v>
      </c>
    </row>
    <row r="18" spans="7:12" x14ac:dyDescent="0.25">
      <c r="H18" s="2" t="s">
        <v>26</v>
      </c>
      <c r="I18" s="2">
        <v>823</v>
      </c>
      <c r="J18" s="9">
        <f t="shared" si="0"/>
        <v>810.3125</v>
      </c>
      <c r="K18" s="4">
        <f t="shared" si="1"/>
        <v>902.47139810539193</v>
      </c>
      <c r="L18" s="4">
        <f t="shared" si="2"/>
        <v>718.15360189460807</v>
      </c>
    </row>
    <row r="19" spans="7:12" x14ac:dyDescent="0.25">
      <c r="H19" s="2" t="s">
        <v>27</v>
      </c>
      <c r="I19" s="2">
        <v>789</v>
      </c>
      <c r="J19" s="9">
        <f t="shared" si="0"/>
        <v>810.3125</v>
      </c>
      <c r="K19" s="4">
        <f t="shared" si="1"/>
        <v>902.47139810539193</v>
      </c>
      <c r="L19" s="4">
        <f t="shared" si="2"/>
        <v>718.15360189460807</v>
      </c>
    </row>
    <row r="20" spans="7:12" x14ac:dyDescent="0.25">
      <c r="H20" s="2" t="s">
        <v>28</v>
      </c>
      <c r="I20" s="2">
        <v>805</v>
      </c>
      <c r="J20" s="9">
        <f t="shared" si="0"/>
        <v>810.3125</v>
      </c>
      <c r="K20" s="4">
        <f t="shared" si="1"/>
        <v>902.47139810539193</v>
      </c>
      <c r="L20" s="4">
        <f t="shared" si="2"/>
        <v>718.15360189460807</v>
      </c>
    </row>
    <row r="21" spans="7:12" x14ac:dyDescent="0.25">
      <c r="H21" s="8" t="s">
        <v>30</v>
      </c>
      <c r="I21" s="65">
        <f>AVERAGE(I5:I20)</f>
        <v>810.3125</v>
      </c>
    </row>
    <row r="22" spans="7:12" ht="15.75" thickBot="1" x14ac:dyDescent="0.3">
      <c r="H22" s="8" t="s">
        <v>85</v>
      </c>
      <c r="I22" s="8">
        <f>_xlfn.STDEV.S(I5:I20)</f>
        <v>30.719632701797288</v>
      </c>
    </row>
    <row r="23" spans="7:12" x14ac:dyDescent="0.25">
      <c r="J23" s="12" t="s">
        <v>29</v>
      </c>
      <c r="K23" s="12"/>
    </row>
    <row r="25" spans="7:12" x14ac:dyDescent="0.25">
      <c r="J25" t="s">
        <v>30</v>
      </c>
      <c r="K25">
        <v>810.3125</v>
      </c>
    </row>
    <row r="26" spans="7:12" x14ac:dyDescent="0.25">
      <c r="J26" t="s">
        <v>31</v>
      </c>
      <c r="K26">
        <v>7.6799081754493219</v>
      </c>
    </row>
    <row r="27" spans="7:12" x14ac:dyDescent="0.25">
      <c r="J27" t="s">
        <v>32</v>
      </c>
      <c r="K27">
        <v>806</v>
      </c>
    </row>
    <row r="28" spans="7:12" x14ac:dyDescent="0.25">
      <c r="J28" t="s">
        <v>33</v>
      </c>
      <c r="K28" t="e">
        <v>#N/A</v>
      </c>
    </row>
    <row r="29" spans="7:12" x14ac:dyDescent="0.25">
      <c r="J29" t="s">
        <v>34</v>
      </c>
      <c r="K29">
        <v>30.719632701797288</v>
      </c>
    </row>
    <row r="30" spans="7:12" x14ac:dyDescent="0.25">
      <c r="G30" s="2"/>
      <c r="J30" t="s">
        <v>35</v>
      </c>
      <c r="K30">
        <v>943.69583333333333</v>
      </c>
    </row>
    <row r="31" spans="7:12" x14ac:dyDescent="0.25">
      <c r="J31" t="s">
        <v>36</v>
      </c>
      <c r="K31">
        <v>0.51457381703217475</v>
      </c>
    </row>
    <row r="32" spans="7:12" x14ac:dyDescent="0.25">
      <c r="J32" t="s">
        <v>37</v>
      </c>
      <c r="K32">
        <v>0.33152669462647544</v>
      </c>
    </row>
    <row r="33" spans="10:11" x14ac:dyDescent="0.25">
      <c r="J33" t="s">
        <v>38</v>
      </c>
      <c r="K33">
        <v>126</v>
      </c>
    </row>
    <row r="34" spans="10:11" x14ac:dyDescent="0.25">
      <c r="J34" t="s">
        <v>39</v>
      </c>
      <c r="K34">
        <v>751</v>
      </c>
    </row>
    <row r="35" spans="10:11" x14ac:dyDescent="0.25">
      <c r="J35" t="s">
        <v>40</v>
      </c>
      <c r="K35">
        <v>877</v>
      </c>
    </row>
    <row r="36" spans="10:11" x14ac:dyDescent="0.25">
      <c r="J36" t="s">
        <v>41</v>
      </c>
      <c r="K36">
        <v>12965</v>
      </c>
    </row>
    <row r="37" spans="10:11" ht="15.75" thickBot="1" x14ac:dyDescent="0.3">
      <c r="J37" s="10" t="s">
        <v>42</v>
      </c>
      <c r="K37" s="10">
        <v>16</v>
      </c>
    </row>
    <row r="42" spans="10:11" x14ac:dyDescent="0.25">
      <c r="J42" s="2"/>
      <c r="K42" s="2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D984-AC92-4D9E-8844-702B491B18CA}">
  <dimension ref="A1:M42"/>
  <sheetViews>
    <sheetView topLeftCell="A2" zoomScale="85" zoomScaleNormal="85" workbookViewId="0">
      <selection activeCell="J21" sqref="J21"/>
    </sheetView>
  </sheetViews>
  <sheetFormatPr defaultRowHeight="15" x14ac:dyDescent="0.25"/>
  <cols>
    <col min="1" max="1" width="3.7109375" customWidth="1"/>
    <col min="2" max="7" width="12.42578125" customWidth="1"/>
    <col min="8" max="8" width="4.85546875" style="1" customWidth="1"/>
    <col min="9" max="10" width="17.7109375" customWidth="1"/>
    <col min="11" max="13" width="15.140625" style="2" customWidth="1"/>
  </cols>
  <sheetData>
    <row r="1" spans="1:10" x14ac:dyDescent="0.25">
      <c r="A1" t="s">
        <v>0</v>
      </c>
    </row>
    <row r="3" spans="1:10" s="2" customFormat="1" x14ac:dyDescent="0.25">
      <c r="B3" s="3" t="s">
        <v>9</v>
      </c>
    </row>
    <row r="4" spans="1:10" s="2" customFormat="1" x14ac:dyDescent="0.25">
      <c r="B4" s="21" t="s">
        <v>12</v>
      </c>
      <c r="C4" s="22"/>
      <c r="D4" s="22"/>
      <c r="E4" s="22"/>
      <c r="F4" s="22"/>
      <c r="G4" s="23"/>
      <c r="I4" s="55" t="s">
        <v>74</v>
      </c>
      <c r="J4" s="56"/>
    </row>
    <row r="5" spans="1:10" s="2" customFormat="1" x14ac:dyDescent="0.25">
      <c r="B5" s="24"/>
      <c r="C5" s="2" t="s">
        <v>1</v>
      </c>
      <c r="D5" s="2" t="s">
        <v>2</v>
      </c>
      <c r="E5" s="2" t="s">
        <v>3</v>
      </c>
      <c r="F5" s="2" t="s">
        <v>4</v>
      </c>
      <c r="G5" s="25" t="s">
        <v>71</v>
      </c>
      <c r="I5" s="24" t="s">
        <v>43</v>
      </c>
      <c r="J5" s="25" t="s">
        <v>44</v>
      </c>
    </row>
    <row r="6" spans="1:10" s="2" customFormat="1" x14ac:dyDescent="0.25">
      <c r="B6" s="24">
        <v>2019</v>
      </c>
      <c r="C6" s="2">
        <v>155</v>
      </c>
      <c r="D6" s="2">
        <v>310</v>
      </c>
      <c r="E6" s="2">
        <v>418</v>
      </c>
      <c r="F6" s="2">
        <v>69</v>
      </c>
      <c r="G6" s="31">
        <f>AVERAGE(C6:F6)</f>
        <v>238</v>
      </c>
      <c r="I6" s="24" t="s">
        <v>13</v>
      </c>
      <c r="J6" s="25">
        <v>155</v>
      </c>
    </row>
    <row r="7" spans="1:10" s="2" customFormat="1" x14ac:dyDescent="0.25">
      <c r="B7" s="24">
        <v>2020</v>
      </c>
      <c r="C7" s="2">
        <v>153</v>
      </c>
      <c r="D7" s="2">
        <v>325</v>
      </c>
      <c r="E7" s="2">
        <v>421</v>
      </c>
      <c r="F7" s="2">
        <v>83</v>
      </c>
      <c r="G7" s="31">
        <f t="shared" ref="G7:G9" si="0">AVERAGE(C7:F7)</f>
        <v>245.5</v>
      </c>
      <c r="I7" s="24" t="s">
        <v>14</v>
      </c>
      <c r="J7" s="25">
        <v>310</v>
      </c>
    </row>
    <row r="8" spans="1:10" s="2" customFormat="1" x14ac:dyDescent="0.25">
      <c r="B8" s="24">
        <v>2021</v>
      </c>
      <c r="C8" s="2">
        <v>149</v>
      </c>
      <c r="D8" s="2">
        <v>279</v>
      </c>
      <c r="E8" s="2">
        <v>443</v>
      </c>
      <c r="F8" s="2">
        <v>76</v>
      </c>
      <c r="G8" s="31">
        <f t="shared" si="0"/>
        <v>236.75</v>
      </c>
      <c r="I8" s="24" t="s">
        <v>15</v>
      </c>
      <c r="J8" s="25">
        <v>418</v>
      </c>
    </row>
    <row r="9" spans="1:10" s="2" customFormat="1" x14ac:dyDescent="0.25">
      <c r="B9" s="32">
        <v>2022</v>
      </c>
      <c r="C9" s="54">
        <v>131</v>
      </c>
      <c r="D9" s="54">
        <v>259</v>
      </c>
      <c r="E9" s="54">
        <v>397</v>
      </c>
      <c r="F9" s="54">
        <v>81</v>
      </c>
      <c r="G9" s="34">
        <f t="shared" si="0"/>
        <v>217</v>
      </c>
      <c r="I9" s="24" t="s">
        <v>16</v>
      </c>
      <c r="J9" s="25">
        <v>69</v>
      </c>
    </row>
    <row r="10" spans="1:10" s="2" customFormat="1" x14ac:dyDescent="0.25">
      <c r="I10" s="24" t="s">
        <v>17</v>
      </c>
      <c r="J10" s="25">
        <v>153</v>
      </c>
    </row>
    <row r="11" spans="1:10" s="2" customFormat="1" x14ac:dyDescent="0.25">
      <c r="I11" s="24" t="s">
        <v>18</v>
      </c>
      <c r="J11" s="25">
        <v>325</v>
      </c>
    </row>
    <row r="12" spans="1:10" s="2" customFormat="1" x14ac:dyDescent="0.25">
      <c r="I12" s="24" t="s">
        <v>19</v>
      </c>
      <c r="J12" s="25">
        <v>421</v>
      </c>
    </row>
    <row r="13" spans="1:10" s="2" customFormat="1" x14ac:dyDescent="0.25">
      <c r="B13" s="21" t="s">
        <v>72</v>
      </c>
      <c r="C13" s="22"/>
      <c r="D13" s="22"/>
      <c r="E13" s="22"/>
      <c r="F13" s="23"/>
      <c r="I13" s="24" t="s">
        <v>20</v>
      </c>
      <c r="J13" s="25">
        <v>83</v>
      </c>
    </row>
    <row r="14" spans="1:10" s="2" customFormat="1" x14ac:dyDescent="0.25">
      <c r="B14" s="24"/>
      <c r="C14" s="2" t="s">
        <v>1</v>
      </c>
      <c r="D14" s="2" t="s">
        <v>2</v>
      </c>
      <c r="E14" s="2" t="s">
        <v>3</v>
      </c>
      <c r="F14" s="25" t="s">
        <v>4</v>
      </c>
      <c r="I14" s="24" t="s">
        <v>21</v>
      </c>
      <c r="J14" s="25">
        <v>149</v>
      </c>
    </row>
    <row r="15" spans="1:10" s="2" customFormat="1" x14ac:dyDescent="0.25">
      <c r="B15" s="24">
        <v>2019</v>
      </c>
      <c r="C15" s="26">
        <f>C6/$G6</f>
        <v>0.65126050420168069</v>
      </c>
      <c r="D15" s="26">
        <f t="shared" ref="D15:F15" si="1">D6/$G6</f>
        <v>1.3025210084033614</v>
      </c>
      <c r="E15" s="26">
        <f t="shared" si="1"/>
        <v>1.7563025210084033</v>
      </c>
      <c r="F15" s="27">
        <f t="shared" si="1"/>
        <v>0.28991596638655465</v>
      </c>
      <c r="I15" s="24" t="s">
        <v>22</v>
      </c>
      <c r="J15" s="25">
        <v>279</v>
      </c>
    </row>
    <row r="16" spans="1:10" s="2" customFormat="1" x14ac:dyDescent="0.25">
      <c r="B16" s="24">
        <v>2020</v>
      </c>
      <c r="C16" s="28">
        <f>C7/$G7</f>
        <v>0.62321792260692466</v>
      </c>
      <c r="D16" s="28">
        <f t="shared" ref="D16:F16" si="2">D7/$G7</f>
        <v>1.3238289205702647</v>
      </c>
      <c r="E16" s="28">
        <f t="shared" si="2"/>
        <v>1.7148676171079429</v>
      </c>
      <c r="F16" s="29">
        <f t="shared" si="2"/>
        <v>0.3380855397148676</v>
      </c>
      <c r="I16" s="24" t="s">
        <v>23</v>
      </c>
      <c r="J16" s="25">
        <v>443</v>
      </c>
    </row>
    <row r="17" spans="1:13" s="2" customFormat="1" x14ac:dyDescent="0.25">
      <c r="B17" s="24">
        <v>2021</v>
      </c>
      <c r="C17" s="28">
        <f>C8/$G8</f>
        <v>0.6293558606124604</v>
      </c>
      <c r="D17" s="28">
        <f t="shared" ref="D17:F17" si="3">D8/$G8</f>
        <v>1.1784582893347413</v>
      </c>
      <c r="E17" s="28">
        <f t="shared" si="3"/>
        <v>1.8711721224920803</v>
      </c>
      <c r="F17" s="29">
        <f t="shared" si="3"/>
        <v>0.32101372756071805</v>
      </c>
      <c r="I17" s="24" t="s">
        <v>24</v>
      </c>
      <c r="J17" s="25">
        <v>76</v>
      </c>
    </row>
    <row r="18" spans="1:13" s="2" customFormat="1" x14ac:dyDescent="0.25">
      <c r="B18" s="24">
        <v>2022</v>
      </c>
      <c r="C18" s="28">
        <f>C9/$G9</f>
        <v>0.60368663594470051</v>
      </c>
      <c r="D18" s="28">
        <f t="shared" ref="D18:F18" si="4">D9/$G9</f>
        <v>1.1935483870967742</v>
      </c>
      <c r="E18" s="28">
        <f t="shared" si="4"/>
        <v>1.8294930875576036</v>
      </c>
      <c r="F18" s="29">
        <f t="shared" si="4"/>
        <v>0.37327188940092165</v>
      </c>
      <c r="I18" s="24" t="s">
        <v>25</v>
      </c>
      <c r="J18" s="25">
        <v>131</v>
      </c>
    </row>
    <row r="19" spans="1:13" s="2" customFormat="1" x14ac:dyDescent="0.25">
      <c r="B19" s="70" t="s">
        <v>77</v>
      </c>
      <c r="C19" s="74">
        <f>AVERAGE(C15:C18)</f>
        <v>0.62688023084144162</v>
      </c>
      <c r="D19" s="74">
        <f t="shared" ref="D19:F19" si="5">AVERAGE(D15:D18)</f>
        <v>1.2495891513512853</v>
      </c>
      <c r="E19" s="74">
        <f t="shared" si="5"/>
        <v>1.7929588370415077</v>
      </c>
      <c r="F19" s="72">
        <f t="shared" si="5"/>
        <v>0.33057178076576549</v>
      </c>
      <c r="I19" s="24" t="s">
        <v>26</v>
      </c>
      <c r="J19" s="25">
        <v>259</v>
      </c>
    </row>
    <row r="20" spans="1:13" x14ac:dyDescent="0.25">
      <c r="A20" s="2"/>
      <c r="B20" s="70"/>
      <c r="C20" s="74"/>
      <c r="D20" s="74"/>
      <c r="E20" s="74"/>
      <c r="F20" s="72"/>
      <c r="G20" s="2"/>
      <c r="I20" s="24" t="s">
        <v>27</v>
      </c>
      <c r="J20" s="57">
        <v>397</v>
      </c>
    </row>
    <row r="21" spans="1:13" x14ac:dyDescent="0.25">
      <c r="A21" s="2"/>
      <c r="B21" s="71"/>
      <c r="C21" s="75"/>
      <c r="D21" s="75"/>
      <c r="E21" s="75"/>
      <c r="F21" s="73"/>
      <c r="G21" s="2"/>
      <c r="I21" s="32" t="s">
        <v>28</v>
      </c>
      <c r="J21" s="58">
        <v>81</v>
      </c>
    </row>
    <row r="22" spans="1:13" x14ac:dyDescent="0.25">
      <c r="A22" s="2"/>
      <c r="B22" s="2"/>
      <c r="C22" s="2"/>
      <c r="D22" s="2"/>
      <c r="E22" s="2"/>
      <c r="F22" s="2"/>
      <c r="G22" s="2"/>
    </row>
    <row r="23" spans="1:13" x14ac:dyDescent="0.25">
      <c r="A23" s="2"/>
      <c r="B23" s="21" t="s">
        <v>73</v>
      </c>
      <c r="C23" s="22"/>
      <c r="D23" s="22"/>
      <c r="E23" s="22"/>
      <c r="F23" s="23"/>
      <c r="G23" s="2"/>
      <c r="H23" s="48"/>
      <c r="I23" s="49" t="s">
        <v>75</v>
      </c>
      <c r="J23" s="50"/>
      <c r="K23" s="22"/>
      <c r="L23" s="22"/>
      <c r="M23" s="23"/>
    </row>
    <row r="24" spans="1:13" x14ac:dyDescent="0.25">
      <c r="B24" s="30"/>
      <c r="C24" s="2" t="s">
        <v>1</v>
      </c>
      <c r="D24" s="2" t="s">
        <v>2</v>
      </c>
      <c r="E24" s="2" t="s">
        <v>3</v>
      </c>
      <c r="F24" s="25" t="s">
        <v>4</v>
      </c>
      <c r="H24" s="24" t="s">
        <v>78</v>
      </c>
      <c r="I24" s="2" t="s">
        <v>43</v>
      </c>
      <c r="J24" s="2" t="s">
        <v>44</v>
      </c>
      <c r="K24" s="7" t="s">
        <v>30</v>
      </c>
      <c r="L24" s="7" t="s">
        <v>45</v>
      </c>
      <c r="M24" s="51" t="s">
        <v>46</v>
      </c>
    </row>
    <row r="25" spans="1:13" x14ac:dyDescent="0.25">
      <c r="B25" s="24">
        <v>2019</v>
      </c>
      <c r="C25" s="4">
        <f>C6/C$19</f>
        <v>247.25616214112921</v>
      </c>
      <c r="D25" s="4">
        <f t="shared" ref="D25:F25" si="6">D6/D$19</f>
        <v>248.08153917211195</v>
      </c>
      <c r="E25" s="4">
        <f t="shared" si="6"/>
        <v>233.13418655484901</v>
      </c>
      <c r="F25" s="31">
        <f t="shared" si="6"/>
        <v>208.72925039203994</v>
      </c>
      <c r="H25" s="52">
        <v>1</v>
      </c>
      <c r="I25" s="2" t="s">
        <v>13</v>
      </c>
      <c r="J25" s="4">
        <v>247.25616214112921</v>
      </c>
      <c r="K25" s="4">
        <f>$J$41</f>
        <v>234.24198064993234</v>
      </c>
      <c r="L25" s="4">
        <f>$J$41+3*$J$42</f>
        <v>283.37809498932256</v>
      </c>
      <c r="M25" s="31">
        <f>$J$41-3*$J$42</f>
        <v>185.1058663105421</v>
      </c>
    </row>
    <row r="26" spans="1:13" x14ac:dyDescent="0.25">
      <c r="B26" s="24">
        <v>2020</v>
      </c>
      <c r="C26" s="4">
        <f>C7/C$19</f>
        <v>244.06576004898562</v>
      </c>
      <c r="D26" s="4">
        <f t="shared" ref="D26:F26" si="7">D7/D$19</f>
        <v>260.0854846159238</v>
      </c>
      <c r="E26" s="4">
        <f t="shared" si="7"/>
        <v>234.8073984200752</v>
      </c>
      <c r="F26" s="31">
        <f t="shared" si="7"/>
        <v>251.08011279042486</v>
      </c>
      <c r="H26" s="52">
        <v>2</v>
      </c>
      <c r="I26" s="2" t="s">
        <v>14</v>
      </c>
      <c r="J26" s="4">
        <v>248.08153917211195</v>
      </c>
      <c r="K26" s="4">
        <f t="shared" ref="K26:K40" si="8">$J$41</f>
        <v>234.24198064993234</v>
      </c>
      <c r="L26" s="4">
        <f t="shared" ref="L26:L40" si="9">$J$41+3*$J$42</f>
        <v>283.37809498932256</v>
      </c>
      <c r="M26" s="31">
        <f t="shared" ref="M26:M40" si="10">$J$41-3*$J$42</f>
        <v>185.1058663105421</v>
      </c>
    </row>
    <row r="27" spans="1:13" x14ac:dyDescent="0.25">
      <c r="B27" s="24">
        <v>2021</v>
      </c>
      <c r="C27" s="4">
        <f>C8/C$19</f>
        <v>237.6849558646984</v>
      </c>
      <c r="D27" s="4">
        <f t="shared" ref="D27:F28" si="11">D8/D$19</f>
        <v>223.27338525490075</v>
      </c>
      <c r="E27" s="4">
        <f t="shared" si="11"/>
        <v>247.07761876506726</v>
      </c>
      <c r="F27" s="31">
        <f t="shared" si="11"/>
        <v>229.90468159123242</v>
      </c>
      <c r="H27" s="52">
        <v>3</v>
      </c>
      <c r="I27" s="2" t="s">
        <v>15</v>
      </c>
      <c r="J27" s="4">
        <v>233.13418655484901</v>
      </c>
      <c r="K27" s="4">
        <f t="shared" si="8"/>
        <v>234.24198064993234</v>
      </c>
      <c r="L27" s="4">
        <f t="shared" si="9"/>
        <v>283.37809498932256</v>
      </c>
      <c r="M27" s="31">
        <f t="shared" si="10"/>
        <v>185.1058663105421</v>
      </c>
    </row>
    <row r="28" spans="1:13" x14ac:dyDescent="0.25">
      <c r="B28" s="32">
        <v>2022</v>
      </c>
      <c r="C28" s="33">
        <f>C9/C$19</f>
        <v>208.97133703540598</v>
      </c>
      <c r="D28" s="33">
        <f>D9/D$19</f>
        <v>207.26812466315158</v>
      </c>
      <c r="E28" s="33">
        <f t="shared" si="11"/>
        <v>221.42170349826569</v>
      </c>
      <c r="F28" s="34">
        <f t="shared" si="11"/>
        <v>245.02998959065559</v>
      </c>
      <c r="H28" s="52">
        <v>4</v>
      </c>
      <c r="I28" s="2" t="s">
        <v>16</v>
      </c>
      <c r="J28" s="4">
        <v>208.72925039203994</v>
      </c>
      <c r="K28" s="4">
        <f t="shared" si="8"/>
        <v>234.24198064993234</v>
      </c>
      <c r="L28" s="4">
        <f t="shared" si="9"/>
        <v>283.37809498932256</v>
      </c>
      <c r="M28" s="31">
        <f t="shared" si="10"/>
        <v>185.1058663105421</v>
      </c>
    </row>
    <row r="29" spans="1:13" x14ac:dyDescent="0.25">
      <c r="H29" s="52">
        <v>5</v>
      </c>
      <c r="I29" s="2" t="s">
        <v>17</v>
      </c>
      <c r="J29" s="4">
        <v>244.06576004898562</v>
      </c>
      <c r="K29" s="4">
        <f t="shared" si="8"/>
        <v>234.24198064993234</v>
      </c>
      <c r="L29" s="4">
        <f t="shared" si="9"/>
        <v>283.37809498932256</v>
      </c>
      <c r="M29" s="31">
        <f t="shared" si="10"/>
        <v>185.1058663105421</v>
      </c>
    </row>
    <row r="30" spans="1:13" x14ac:dyDescent="0.25">
      <c r="B30" s="21" t="s">
        <v>86</v>
      </c>
      <c r="C30" s="35"/>
      <c r="D30" s="35"/>
      <c r="E30" s="35"/>
      <c r="F30" s="36"/>
      <c r="H30" s="52">
        <v>6</v>
      </c>
      <c r="I30" s="2" t="s">
        <v>18</v>
      </c>
      <c r="J30" s="4">
        <v>260.0854846159238</v>
      </c>
      <c r="K30" s="4">
        <f t="shared" si="8"/>
        <v>234.24198064993234</v>
      </c>
      <c r="L30" s="4">
        <f t="shared" si="9"/>
        <v>283.37809498932256</v>
      </c>
      <c r="M30" s="31">
        <f t="shared" si="10"/>
        <v>185.1058663105421</v>
      </c>
    </row>
    <row r="31" spans="1:13" x14ac:dyDescent="0.25">
      <c r="B31" s="30"/>
      <c r="C31" s="2" t="s">
        <v>1</v>
      </c>
      <c r="D31" s="2" t="s">
        <v>2</v>
      </c>
      <c r="E31" s="2" t="s">
        <v>3</v>
      </c>
      <c r="F31" s="25" t="s">
        <v>4</v>
      </c>
      <c r="H31" s="52">
        <v>7</v>
      </c>
      <c r="I31" s="2" t="s">
        <v>19</v>
      </c>
      <c r="J31" s="4">
        <v>234.8073984200752</v>
      </c>
      <c r="K31" s="4">
        <f t="shared" si="8"/>
        <v>234.24198064993234</v>
      </c>
      <c r="L31" s="4">
        <f t="shared" si="9"/>
        <v>283.37809498932256</v>
      </c>
      <c r="M31" s="31">
        <f t="shared" si="10"/>
        <v>185.1058663105421</v>
      </c>
    </row>
    <row r="32" spans="1:13" x14ac:dyDescent="0.25">
      <c r="B32" s="32">
        <v>2023</v>
      </c>
      <c r="C32" s="33">
        <f t="shared" ref="C32:F32" si="12">$J$41</f>
        <v>234.24198064993234</v>
      </c>
      <c r="D32" s="33">
        <f t="shared" si="12"/>
        <v>234.24198064993234</v>
      </c>
      <c r="E32" s="33">
        <f t="shared" si="12"/>
        <v>234.24198064993234</v>
      </c>
      <c r="F32" s="34">
        <f t="shared" si="12"/>
        <v>234.24198064993234</v>
      </c>
      <c r="H32" s="52">
        <v>8</v>
      </c>
      <c r="I32" s="2" t="s">
        <v>20</v>
      </c>
      <c r="J32" s="4">
        <v>251.08011279042486</v>
      </c>
      <c r="K32" s="4">
        <f t="shared" si="8"/>
        <v>234.24198064993234</v>
      </c>
      <c r="L32" s="4">
        <f t="shared" si="9"/>
        <v>283.37809498932256</v>
      </c>
      <c r="M32" s="31">
        <f t="shared" si="10"/>
        <v>185.1058663105421</v>
      </c>
    </row>
    <row r="33" spans="2:13" x14ac:dyDescent="0.25">
      <c r="B33" s="2"/>
      <c r="H33" s="52">
        <v>9</v>
      </c>
      <c r="I33" s="2" t="s">
        <v>21</v>
      </c>
      <c r="J33" s="4">
        <v>237.6849558646984</v>
      </c>
      <c r="K33" s="4">
        <f t="shared" si="8"/>
        <v>234.24198064993234</v>
      </c>
      <c r="L33" s="4">
        <f t="shared" si="9"/>
        <v>283.37809498932256</v>
      </c>
      <c r="M33" s="31">
        <f t="shared" si="10"/>
        <v>185.1058663105421</v>
      </c>
    </row>
    <row r="34" spans="2:13" x14ac:dyDescent="0.25">
      <c r="B34" s="37" t="s">
        <v>81</v>
      </c>
      <c r="C34" s="38"/>
      <c r="D34" s="35"/>
      <c r="E34" s="35"/>
      <c r="F34" s="36"/>
      <c r="H34" s="52">
        <v>10</v>
      </c>
      <c r="I34" s="2" t="s">
        <v>22</v>
      </c>
      <c r="J34" s="4">
        <v>223.27338525490075</v>
      </c>
      <c r="K34" s="4">
        <f t="shared" si="8"/>
        <v>234.24198064993234</v>
      </c>
      <c r="L34" s="4">
        <f t="shared" si="9"/>
        <v>283.37809498932256</v>
      </c>
      <c r="M34" s="31">
        <f t="shared" si="10"/>
        <v>185.1058663105421</v>
      </c>
    </row>
    <row r="35" spans="2:13" x14ac:dyDescent="0.25">
      <c r="B35" s="24"/>
      <c r="C35" s="2" t="s">
        <v>1</v>
      </c>
      <c r="D35" s="2" t="s">
        <v>2</v>
      </c>
      <c r="E35" s="2" t="s">
        <v>3</v>
      </c>
      <c r="F35" s="25" t="s">
        <v>4</v>
      </c>
      <c r="H35" s="52">
        <v>11</v>
      </c>
      <c r="I35" s="2" t="s">
        <v>23</v>
      </c>
      <c r="J35" s="4">
        <v>247.07761876506726</v>
      </c>
      <c r="K35" s="4">
        <f t="shared" si="8"/>
        <v>234.24198064993234</v>
      </c>
      <c r="L35" s="4">
        <f t="shared" si="9"/>
        <v>283.37809498932256</v>
      </c>
      <c r="M35" s="31">
        <f t="shared" si="10"/>
        <v>185.1058663105421</v>
      </c>
    </row>
    <row r="36" spans="2:13" x14ac:dyDescent="0.25">
      <c r="B36" s="39">
        <v>2023</v>
      </c>
      <c r="C36" s="40">
        <f>C32*C19</f>
        <v>146.8416669025861</v>
      </c>
      <c r="D36" s="40">
        <f t="shared" ref="D36:F36" si="13">D32*D19</f>
        <v>292.70623781119315</v>
      </c>
      <c r="E36" s="40">
        <f t="shared" si="13"/>
        <v>419.98622921240207</v>
      </c>
      <c r="F36" s="41">
        <f t="shared" si="13"/>
        <v>77.433788673548122</v>
      </c>
      <c r="H36" s="52">
        <v>12</v>
      </c>
      <c r="I36" s="2" t="s">
        <v>24</v>
      </c>
      <c r="J36" s="4">
        <v>229.90468159123242</v>
      </c>
      <c r="K36" s="4">
        <f t="shared" si="8"/>
        <v>234.24198064993234</v>
      </c>
      <c r="L36" s="4">
        <f t="shared" si="9"/>
        <v>283.37809498932256</v>
      </c>
      <c r="M36" s="31">
        <f t="shared" si="10"/>
        <v>185.1058663105421</v>
      </c>
    </row>
    <row r="37" spans="2:13" x14ac:dyDescent="0.25">
      <c r="B37" s="42" t="s">
        <v>87</v>
      </c>
      <c r="C37" s="40">
        <f>$L$25*C$19</f>
        <v>177.64412560231449</v>
      </c>
      <c r="D37" s="40">
        <f t="shared" ref="D37:F37" si="14">$L$25*D$19</f>
        <v>354.10619322925152</v>
      </c>
      <c r="E37" s="40">
        <f t="shared" si="14"/>
        <v>508.08525963509368</v>
      </c>
      <c r="F37" s="41">
        <f t="shared" si="14"/>
        <v>93.676801490630609</v>
      </c>
      <c r="H37" s="52">
        <v>13</v>
      </c>
      <c r="I37" s="2" t="s">
        <v>25</v>
      </c>
      <c r="J37" s="4">
        <v>208.97133703540598</v>
      </c>
      <c r="K37" s="4">
        <f t="shared" si="8"/>
        <v>234.24198064993234</v>
      </c>
      <c r="L37" s="4">
        <f t="shared" si="9"/>
        <v>283.37809498932256</v>
      </c>
      <c r="M37" s="31">
        <f t="shared" si="10"/>
        <v>185.1058663105421</v>
      </c>
    </row>
    <row r="38" spans="2:13" x14ac:dyDescent="0.25">
      <c r="B38" s="43" t="s">
        <v>88</v>
      </c>
      <c r="C38" s="44">
        <f>$M$25*C$19</f>
        <v>116.03920820285767</v>
      </c>
      <c r="D38" s="44">
        <f t="shared" ref="D38:F38" si="15">$M$25*D$19</f>
        <v>231.30628239313478</v>
      </c>
      <c r="E38" s="44">
        <f t="shared" si="15"/>
        <v>331.88719878971034</v>
      </c>
      <c r="F38" s="45">
        <f t="shared" si="15"/>
        <v>61.190775856465621</v>
      </c>
      <c r="H38" s="52">
        <v>14</v>
      </c>
      <c r="I38" s="2" t="s">
        <v>26</v>
      </c>
      <c r="J38" s="4">
        <v>207.26812466315158</v>
      </c>
      <c r="K38" s="4">
        <f t="shared" si="8"/>
        <v>234.24198064993234</v>
      </c>
      <c r="L38" s="4">
        <f t="shared" si="9"/>
        <v>283.37809498932256</v>
      </c>
      <c r="M38" s="31">
        <f t="shared" si="10"/>
        <v>185.1058663105421</v>
      </c>
    </row>
    <row r="39" spans="2:13" x14ac:dyDescent="0.25">
      <c r="H39" s="52">
        <v>15</v>
      </c>
      <c r="I39" s="2" t="s">
        <v>27</v>
      </c>
      <c r="J39" s="4">
        <v>221.42170349826569</v>
      </c>
      <c r="K39" s="4">
        <f t="shared" si="8"/>
        <v>234.24198064993234</v>
      </c>
      <c r="L39" s="4">
        <f t="shared" si="9"/>
        <v>283.37809498932256</v>
      </c>
      <c r="M39" s="31">
        <f t="shared" si="10"/>
        <v>185.1058663105421</v>
      </c>
    </row>
    <row r="40" spans="2:13" x14ac:dyDescent="0.25">
      <c r="H40" s="53">
        <v>16</v>
      </c>
      <c r="I40" s="54" t="s">
        <v>28</v>
      </c>
      <c r="J40" s="33">
        <v>245.02998959065559</v>
      </c>
      <c r="K40" s="33">
        <f t="shared" si="8"/>
        <v>234.24198064993234</v>
      </c>
      <c r="L40" s="33">
        <f t="shared" si="9"/>
        <v>283.37809498932256</v>
      </c>
      <c r="M40" s="34">
        <f t="shared" si="10"/>
        <v>185.1058663105421</v>
      </c>
    </row>
    <row r="41" spans="2:13" x14ac:dyDescent="0.25">
      <c r="I41" s="46" t="s">
        <v>30</v>
      </c>
      <c r="J41" s="47">
        <f>AVERAGE(J25:J40)</f>
        <v>234.24198064993234</v>
      </c>
    </row>
    <row r="42" spans="2:13" x14ac:dyDescent="0.25">
      <c r="I42" s="5" t="s">
        <v>76</v>
      </c>
      <c r="J42" s="6">
        <f>_xlfn.STDEV.S(J25:J40)</f>
        <v>16.378704779796749</v>
      </c>
    </row>
  </sheetData>
  <mergeCells count="5">
    <mergeCell ref="B19:B21"/>
    <mergeCell ref="F19:F21"/>
    <mergeCell ref="E19:E21"/>
    <mergeCell ref="D19:D21"/>
    <mergeCell ref="C19:C2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9FB3-9A9F-42F7-B225-BF5DE0F7D2FD}">
  <dimension ref="A1:U47"/>
  <sheetViews>
    <sheetView zoomScale="80" zoomScaleNormal="80" workbookViewId="0">
      <selection activeCell="K23" sqref="K23"/>
    </sheetView>
  </sheetViews>
  <sheetFormatPr defaultRowHeight="15" x14ac:dyDescent="0.25"/>
  <cols>
    <col min="1" max="1" width="3.7109375" customWidth="1"/>
    <col min="7" max="7" width="3.7109375" customWidth="1"/>
    <col min="8" max="9" width="17.7109375" style="2" customWidth="1"/>
    <col min="10" max="10" width="3.140625" customWidth="1"/>
    <col min="12" max="20" width="15.7109375" customWidth="1"/>
  </cols>
  <sheetData>
    <row r="1" spans="1:9" x14ac:dyDescent="0.25">
      <c r="A1" t="s">
        <v>0</v>
      </c>
    </row>
    <row r="3" spans="1:9" s="2" customFormat="1" x14ac:dyDescent="0.25">
      <c r="B3" s="3" t="s">
        <v>8</v>
      </c>
    </row>
    <row r="4" spans="1:9" s="2" customFormat="1" x14ac:dyDescent="0.25">
      <c r="B4" s="21" t="s">
        <v>11</v>
      </c>
      <c r="C4" s="22"/>
      <c r="D4" s="22"/>
      <c r="E4" s="22"/>
      <c r="F4" s="23"/>
      <c r="H4" s="59" t="s">
        <v>43</v>
      </c>
      <c r="I4" s="23" t="s">
        <v>44</v>
      </c>
    </row>
    <row r="5" spans="1:9" s="2" customFormat="1" x14ac:dyDescent="0.25">
      <c r="B5" s="24"/>
      <c r="C5" s="2" t="s">
        <v>1</v>
      </c>
      <c r="D5" s="2" t="s">
        <v>2</v>
      </c>
      <c r="E5" s="2" t="s">
        <v>3</v>
      </c>
      <c r="F5" s="25" t="s">
        <v>4</v>
      </c>
      <c r="H5" s="24">
        <v>1</v>
      </c>
      <c r="I5" s="25">
        <v>539</v>
      </c>
    </row>
    <row r="6" spans="1:9" s="2" customFormat="1" x14ac:dyDescent="0.25">
      <c r="B6" s="24">
        <v>2019</v>
      </c>
      <c r="C6" s="2">
        <v>539</v>
      </c>
      <c r="D6" s="2">
        <v>670</v>
      </c>
      <c r="E6" s="2">
        <v>903</v>
      </c>
      <c r="F6" s="25">
        <v>745</v>
      </c>
      <c r="H6" s="24">
        <v>2</v>
      </c>
      <c r="I6" s="25">
        <v>670</v>
      </c>
    </row>
    <row r="7" spans="1:9" s="2" customFormat="1" x14ac:dyDescent="0.25">
      <c r="B7" s="24">
        <v>2020</v>
      </c>
      <c r="C7" s="2">
        <v>1134</v>
      </c>
      <c r="D7" s="2">
        <v>1411</v>
      </c>
      <c r="E7" s="2">
        <v>1332</v>
      </c>
      <c r="F7" s="25">
        <v>1646</v>
      </c>
      <c r="H7" s="24">
        <v>3</v>
      </c>
      <c r="I7" s="25">
        <v>903</v>
      </c>
    </row>
    <row r="8" spans="1:9" s="2" customFormat="1" x14ac:dyDescent="0.25">
      <c r="B8" s="24">
        <v>2021</v>
      </c>
      <c r="C8" s="2">
        <v>1820</v>
      </c>
      <c r="D8" s="2">
        <v>1497</v>
      </c>
      <c r="E8" s="2">
        <v>1945</v>
      </c>
      <c r="F8" s="25">
        <v>1888</v>
      </c>
      <c r="H8" s="24">
        <v>4</v>
      </c>
      <c r="I8" s="25">
        <v>745</v>
      </c>
    </row>
    <row r="9" spans="1:9" s="2" customFormat="1" x14ac:dyDescent="0.25">
      <c r="B9" s="32">
        <v>2022</v>
      </c>
      <c r="C9" s="54">
        <v>2153</v>
      </c>
      <c r="D9" s="54">
        <v>2223</v>
      </c>
      <c r="E9" s="54">
        <v>2027</v>
      </c>
      <c r="F9" s="60">
        <v>2389</v>
      </c>
      <c r="H9" s="24">
        <v>5</v>
      </c>
      <c r="I9" s="25">
        <v>1134</v>
      </c>
    </row>
    <row r="10" spans="1:9" s="2" customFormat="1" x14ac:dyDescent="0.25">
      <c r="B10"/>
      <c r="C10"/>
      <c r="D10"/>
      <c r="E10"/>
      <c r="F10"/>
      <c r="H10" s="24">
        <v>6</v>
      </c>
      <c r="I10" s="25">
        <v>1411</v>
      </c>
    </row>
    <row r="11" spans="1:9" s="2" customFormat="1" x14ac:dyDescent="0.25">
      <c r="H11" s="24">
        <v>7</v>
      </c>
      <c r="I11" s="25">
        <v>1332</v>
      </c>
    </row>
    <row r="12" spans="1:9" s="2" customFormat="1" x14ac:dyDescent="0.25">
      <c r="H12" s="24">
        <v>8</v>
      </c>
      <c r="I12" s="25">
        <v>1646</v>
      </c>
    </row>
    <row r="13" spans="1:9" s="2" customFormat="1" x14ac:dyDescent="0.25">
      <c r="H13" s="24">
        <v>9</v>
      </c>
      <c r="I13" s="25">
        <v>1820</v>
      </c>
    </row>
    <row r="14" spans="1:9" s="2" customFormat="1" x14ac:dyDescent="0.25">
      <c r="H14" s="24">
        <v>10</v>
      </c>
      <c r="I14" s="25">
        <v>1497</v>
      </c>
    </row>
    <row r="15" spans="1:9" s="2" customFormat="1" x14ac:dyDescent="0.25">
      <c r="H15" s="24">
        <v>11</v>
      </c>
      <c r="I15" s="25">
        <v>1945</v>
      </c>
    </row>
    <row r="16" spans="1:9" s="2" customFormat="1" x14ac:dyDescent="0.25">
      <c r="H16" s="24">
        <v>12</v>
      </c>
      <c r="I16" s="25">
        <v>1888</v>
      </c>
    </row>
    <row r="17" spans="6:14" s="2" customFormat="1" x14ac:dyDescent="0.25">
      <c r="H17" s="24">
        <v>13</v>
      </c>
      <c r="I17" s="25">
        <v>2153</v>
      </c>
    </row>
    <row r="18" spans="6:14" s="2" customFormat="1" x14ac:dyDescent="0.25">
      <c r="H18" s="24">
        <v>14</v>
      </c>
      <c r="I18" s="25">
        <v>2223</v>
      </c>
    </row>
    <row r="19" spans="6:14" s="2" customFormat="1" x14ac:dyDescent="0.25">
      <c r="H19" s="24">
        <v>15</v>
      </c>
      <c r="I19" s="25">
        <v>2027</v>
      </c>
    </row>
    <row r="20" spans="6:14" x14ac:dyDescent="0.25">
      <c r="H20" s="24">
        <v>16</v>
      </c>
      <c r="I20" s="25">
        <v>2389</v>
      </c>
    </row>
    <row r="21" spans="6:14" x14ac:dyDescent="0.25">
      <c r="H21" s="66">
        <v>17</v>
      </c>
      <c r="I21" s="67">
        <f>$N$40*H21+$N$39</f>
        <v>2535.125</v>
      </c>
    </row>
    <row r="22" spans="6:14" x14ac:dyDescent="0.25">
      <c r="H22" s="66">
        <v>18</v>
      </c>
      <c r="I22" s="67">
        <f t="shared" ref="I22:I24" si="0">$N$40*H22+$N$39</f>
        <v>2654.5367647058824</v>
      </c>
    </row>
    <row r="23" spans="6:14" x14ac:dyDescent="0.25">
      <c r="H23" s="66">
        <v>19</v>
      </c>
      <c r="I23" s="67">
        <f t="shared" si="0"/>
        <v>2773.9485294117644</v>
      </c>
      <c r="M23" t="s">
        <v>47</v>
      </c>
    </row>
    <row r="24" spans="6:14" ht="15.75" thickBot="1" x14ac:dyDescent="0.3">
      <c r="F24" s="13"/>
      <c r="H24" s="66">
        <v>20</v>
      </c>
      <c r="I24" s="67">
        <f t="shared" si="0"/>
        <v>2893.3602941176468</v>
      </c>
    </row>
    <row r="25" spans="6:14" x14ac:dyDescent="0.25">
      <c r="M25" s="12" t="s">
        <v>48</v>
      </c>
      <c r="N25" s="12"/>
    </row>
    <row r="26" spans="6:14" x14ac:dyDescent="0.25">
      <c r="H26"/>
      <c r="I26"/>
      <c r="M26" t="s">
        <v>49</v>
      </c>
      <c r="N26">
        <v>0.96632007108538931</v>
      </c>
    </row>
    <row r="27" spans="6:14" x14ac:dyDescent="0.25">
      <c r="H27"/>
      <c r="I27"/>
      <c r="M27" t="s">
        <v>50</v>
      </c>
      <c r="N27">
        <v>0.93377447978247186</v>
      </c>
    </row>
    <row r="28" spans="6:14" x14ac:dyDescent="0.25">
      <c r="H28"/>
      <c r="I28"/>
      <c r="M28" t="s">
        <v>51</v>
      </c>
      <c r="N28">
        <v>0.92904408548121986</v>
      </c>
    </row>
    <row r="29" spans="6:14" x14ac:dyDescent="0.25">
      <c r="H29"/>
      <c r="I29"/>
      <c r="M29" t="s">
        <v>31</v>
      </c>
      <c r="N29">
        <v>156.71632765267688</v>
      </c>
    </row>
    <row r="30" spans="6:14" ht="15.75" thickBot="1" x14ac:dyDescent="0.3">
      <c r="H30"/>
      <c r="I30"/>
      <c r="M30" s="10" t="s">
        <v>52</v>
      </c>
      <c r="N30" s="10">
        <v>16</v>
      </c>
    </row>
    <row r="31" spans="6:14" x14ac:dyDescent="0.25">
      <c r="H31"/>
      <c r="I31"/>
    </row>
    <row r="32" spans="6:14" ht="15.75" thickBot="1" x14ac:dyDescent="0.3">
      <c r="F32" s="14"/>
      <c r="G32" s="14"/>
      <c r="H32" s="14"/>
      <c r="I32" s="14"/>
      <c r="M32" t="s">
        <v>53</v>
      </c>
    </row>
    <row r="33" spans="6:21" x14ac:dyDescent="0.25">
      <c r="H33"/>
      <c r="I33"/>
      <c r="M33" s="11"/>
      <c r="N33" s="11" t="s">
        <v>58</v>
      </c>
      <c r="O33" s="11" t="s">
        <v>59</v>
      </c>
      <c r="P33" s="11" t="s">
        <v>60</v>
      </c>
      <c r="Q33" s="11" t="s">
        <v>61</v>
      </c>
      <c r="R33" s="11" t="s">
        <v>62</v>
      </c>
    </row>
    <row r="34" spans="6:21" x14ac:dyDescent="0.25">
      <c r="H34"/>
      <c r="I34"/>
      <c r="M34" t="s">
        <v>54</v>
      </c>
      <c r="N34">
        <v>1</v>
      </c>
      <c r="O34">
        <v>4848117.6470588231</v>
      </c>
      <c r="P34">
        <v>4848117.6470588231</v>
      </c>
      <c r="Q34">
        <v>197.39886789888268</v>
      </c>
      <c r="R34">
        <v>1.2058050379154205E-9</v>
      </c>
    </row>
    <row r="35" spans="6:21" x14ac:dyDescent="0.25">
      <c r="H35"/>
      <c r="I35"/>
      <c r="M35" t="s">
        <v>55</v>
      </c>
      <c r="N35">
        <v>14</v>
      </c>
      <c r="O35">
        <v>343840.1029411765</v>
      </c>
      <c r="P35">
        <v>24560.007352941178</v>
      </c>
    </row>
    <row r="36" spans="6:21" ht="15.75" thickBot="1" x14ac:dyDescent="0.3">
      <c r="H36"/>
      <c r="I36"/>
      <c r="M36" s="10" t="s">
        <v>56</v>
      </c>
      <c r="N36" s="10">
        <v>15</v>
      </c>
      <c r="O36" s="10">
        <v>5191957.75</v>
      </c>
      <c r="P36" s="10"/>
      <c r="Q36" s="10"/>
      <c r="R36" s="10"/>
    </row>
    <row r="37" spans="6:21" ht="15.75" thickBot="1" x14ac:dyDescent="0.3">
      <c r="F37" s="14"/>
      <c r="G37" s="14"/>
      <c r="H37" s="14"/>
      <c r="I37" s="14"/>
    </row>
    <row r="38" spans="6:21" x14ac:dyDescent="0.25">
      <c r="H38"/>
      <c r="I38"/>
      <c r="M38" s="11"/>
      <c r="N38" s="15" t="s">
        <v>63</v>
      </c>
      <c r="O38" s="11" t="s">
        <v>31</v>
      </c>
      <c r="P38" s="11" t="s">
        <v>64</v>
      </c>
      <c r="Q38" s="11" t="s">
        <v>65</v>
      </c>
      <c r="R38" s="11" t="s">
        <v>66</v>
      </c>
      <c r="S38" s="11" t="s">
        <v>67</v>
      </c>
      <c r="T38" s="11" t="s">
        <v>68</v>
      </c>
      <c r="U38" s="11" t="s">
        <v>69</v>
      </c>
    </row>
    <row r="39" spans="6:21" x14ac:dyDescent="0.25">
      <c r="H39"/>
      <c r="I39"/>
      <c r="M39" t="s">
        <v>57</v>
      </c>
      <c r="N39" s="16">
        <v>505.125</v>
      </c>
      <c r="O39">
        <v>82.182735547430056</v>
      </c>
      <c r="P39">
        <v>6.1463639125090648</v>
      </c>
      <c r="Q39" s="16">
        <v>2.534416655471933E-5</v>
      </c>
      <c r="R39">
        <v>328.86056282120268</v>
      </c>
      <c r="S39">
        <v>681.38943717879738</v>
      </c>
      <c r="T39">
        <v>328.86056282120268</v>
      </c>
      <c r="U39">
        <v>681.38943717879738</v>
      </c>
    </row>
    <row r="40" spans="6:21" ht="15.75" thickBot="1" x14ac:dyDescent="0.3">
      <c r="H40"/>
      <c r="I40"/>
      <c r="M40" s="10" t="s">
        <v>70</v>
      </c>
      <c r="N40" s="17">
        <v>119.41176470588235</v>
      </c>
      <c r="O40" s="10">
        <v>8.4991361763384301</v>
      </c>
      <c r="P40" s="10">
        <v>14.049870743137914</v>
      </c>
      <c r="Q40" s="17">
        <v>1.2058050379154205E-9</v>
      </c>
      <c r="R40" s="10">
        <v>101.18293057607106</v>
      </c>
      <c r="S40" s="10">
        <v>137.64059883569365</v>
      </c>
      <c r="T40" s="10">
        <v>101.18293057607106</v>
      </c>
      <c r="U40" s="10">
        <v>137.64059883569365</v>
      </c>
    </row>
    <row r="41" spans="6:21" x14ac:dyDescent="0.25">
      <c r="H41"/>
      <c r="I41"/>
    </row>
    <row r="42" spans="6:21" x14ac:dyDescent="0.25">
      <c r="H42"/>
      <c r="I42"/>
    </row>
    <row r="43" spans="6:21" x14ac:dyDescent="0.25">
      <c r="H43"/>
      <c r="I43"/>
    </row>
    <row r="44" spans="6:21" x14ac:dyDescent="0.25">
      <c r="H44"/>
      <c r="I44"/>
    </row>
    <row r="47" spans="6:21" x14ac:dyDescent="0.25">
      <c r="L47" s="14"/>
      <c r="M47" s="14"/>
      <c r="N47" s="1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AD61-69EC-4A4D-9183-05423B7932AE}">
  <dimension ref="A1:N55"/>
  <sheetViews>
    <sheetView zoomScale="80" zoomScaleNormal="80" workbookViewId="0">
      <selection activeCell="C40" sqref="C40"/>
    </sheetView>
  </sheetViews>
  <sheetFormatPr defaultRowHeight="15" x14ac:dyDescent="0.25"/>
  <cols>
    <col min="1" max="1" width="3.7109375" customWidth="1"/>
    <col min="2" max="7" width="12.42578125" customWidth="1"/>
    <col min="8" max="8" width="3.7109375" customWidth="1"/>
    <col min="9" max="13" width="15.140625" style="1" customWidth="1"/>
    <col min="14" max="14" width="9.140625" style="1"/>
  </cols>
  <sheetData>
    <row r="1" spans="1:10" x14ac:dyDescent="0.25">
      <c r="A1" t="s">
        <v>0</v>
      </c>
    </row>
    <row r="3" spans="1:10" s="2" customFormat="1" x14ac:dyDescent="0.25">
      <c r="B3" s="21" t="s">
        <v>10</v>
      </c>
      <c r="C3" s="22"/>
      <c r="D3" s="22"/>
      <c r="E3" s="22"/>
      <c r="F3" s="22"/>
      <c r="G3" s="23"/>
    </row>
    <row r="4" spans="1:10" s="2" customFormat="1" x14ac:dyDescent="0.25">
      <c r="B4" s="61" t="s">
        <v>5</v>
      </c>
      <c r="G4" s="25"/>
      <c r="I4" s="55" t="s">
        <v>74</v>
      </c>
      <c r="J4" s="56"/>
    </row>
    <row r="5" spans="1:10" s="2" customFormat="1" x14ac:dyDescent="0.25">
      <c r="B5" s="24"/>
      <c r="C5" s="2" t="s">
        <v>1</v>
      </c>
      <c r="D5" s="2" t="s">
        <v>2</v>
      </c>
      <c r="E5" s="2" t="s">
        <v>3</v>
      </c>
      <c r="F5" s="2" t="s">
        <v>4</v>
      </c>
      <c r="G5" s="25" t="s">
        <v>71</v>
      </c>
      <c r="I5" s="24" t="s">
        <v>43</v>
      </c>
      <c r="J5" s="25" t="s">
        <v>44</v>
      </c>
    </row>
    <row r="6" spans="1:10" s="2" customFormat="1" x14ac:dyDescent="0.25">
      <c r="B6" s="24">
        <v>2019</v>
      </c>
      <c r="C6" s="2">
        <v>448</v>
      </c>
      <c r="D6" s="2">
        <v>1654</v>
      </c>
      <c r="E6" s="2">
        <v>928</v>
      </c>
      <c r="F6" s="2">
        <v>2177</v>
      </c>
      <c r="G6" s="31">
        <f>AVERAGE(C6:F6)</f>
        <v>1301.75</v>
      </c>
      <c r="I6" s="24" t="s">
        <v>13</v>
      </c>
      <c r="J6" s="25">
        <v>448</v>
      </c>
    </row>
    <row r="7" spans="1:10" s="2" customFormat="1" x14ac:dyDescent="0.25">
      <c r="B7" s="24">
        <v>2020</v>
      </c>
      <c r="C7" s="2">
        <v>756</v>
      </c>
      <c r="D7" s="2">
        <v>1801</v>
      </c>
      <c r="E7" s="2">
        <v>1273</v>
      </c>
      <c r="F7" s="2">
        <v>2710</v>
      </c>
      <c r="G7" s="31">
        <f t="shared" ref="G7:G9" si="0">AVERAGE(C7:F7)</f>
        <v>1635</v>
      </c>
      <c r="I7" s="24" t="s">
        <v>14</v>
      </c>
      <c r="J7" s="25">
        <v>1654</v>
      </c>
    </row>
    <row r="8" spans="1:10" s="2" customFormat="1" x14ac:dyDescent="0.25">
      <c r="B8" s="24">
        <v>2021</v>
      </c>
      <c r="C8" s="2">
        <v>925</v>
      </c>
      <c r="D8" s="2">
        <v>2492</v>
      </c>
      <c r="E8" s="2">
        <v>1477</v>
      </c>
      <c r="F8" s="2">
        <v>3381</v>
      </c>
      <c r="G8" s="31">
        <f t="shared" si="0"/>
        <v>2068.75</v>
      </c>
      <c r="I8" s="24" t="s">
        <v>15</v>
      </c>
      <c r="J8" s="25">
        <v>928</v>
      </c>
    </row>
    <row r="9" spans="1:10" s="2" customFormat="1" x14ac:dyDescent="0.25">
      <c r="B9" s="32">
        <v>2022</v>
      </c>
      <c r="C9" s="54">
        <v>1017</v>
      </c>
      <c r="D9" s="54">
        <v>3058</v>
      </c>
      <c r="E9" s="54">
        <v>2120</v>
      </c>
      <c r="F9" s="54">
        <v>4471</v>
      </c>
      <c r="G9" s="34">
        <f t="shared" si="0"/>
        <v>2666.5</v>
      </c>
      <c r="I9" s="24" t="s">
        <v>16</v>
      </c>
      <c r="J9" s="25">
        <v>2177</v>
      </c>
    </row>
    <row r="10" spans="1:10" s="2" customFormat="1" x14ac:dyDescent="0.25">
      <c r="B10"/>
      <c r="C10"/>
      <c r="D10"/>
      <c r="E10"/>
      <c r="F10"/>
      <c r="G10"/>
      <c r="I10" s="24" t="s">
        <v>17</v>
      </c>
      <c r="J10" s="25">
        <v>756</v>
      </c>
    </row>
    <row r="11" spans="1:10" s="2" customFormat="1" x14ac:dyDescent="0.25">
      <c r="B11"/>
      <c r="C11"/>
      <c r="D11"/>
      <c r="E11"/>
      <c r="F11"/>
      <c r="G11"/>
      <c r="I11" s="24" t="s">
        <v>18</v>
      </c>
      <c r="J11" s="25">
        <v>1801</v>
      </c>
    </row>
    <row r="12" spans="1:10" s="2" customFormat="1" x14ac:dyDescent="0.25">
      <c r="B12"/>
      <c r="C12"/>
      <c r="D12"/>
      <c r="E12"/>
      <c r="F12"/>
      <c r="G12"/>
      <c r="I12" s="24" t="s">
        <v>19</v>
      </c>
      <c r="J12" s="25">
        <v>1273</v>
      </c>
    </row>
    <row r="13" spans="1:10" s="2" customFormat="1" x14ac:dyDescent="0.25">
      <c r="B13" s="21" t="s">
        <v>72</v>
      </c>
      <c r="C13" s="22"/>
      <c r="D13" s="22"/>
      <c r="E13" s="22"/>
      <c r="F13" s="23"/>
      <c r="G13"/>
      <c r="I13" s="24" t="s">
        <v>20</v>
      </c>
      <c r="J13" s="25">
        <v>2710</v>
      </c>
    </row>
    <row r="14" spans="1:10" s="2" customFormat="1" x14ac:dyDescent="0.25">
      <c r="B14" s="24"/>
      <c r="C14" s="2" t="s">
        <v>1</v>
      </c>
      <c r="D14" s="2" t="s">
        <v>2</v>
      </c>
      <c r="E14" s="2" t="s">
        <v>3</v>
      </c>
      <c r="F14" s="25" t="s">
        <v>4</v>
      </c>
      <c r="G14"/>
      <c r="I14" s="24" t="s">
        <v>21</v>
      </c>
      <c r="J14" s="25">
        <v>925</v>
      </c>
    </row>
    <row r="15" spans="1:10" s="2" customFormat="1" x14ac:dyDescent="0.25">
      <c r="B15" s="24">
        <v>2019</v>
      </c>
      <c r="C15" s="28">
        <f>C6/$G6</f>
        <v>0.34415210293835224</v>
      </c>
      <c r="D15" s="28">
        <f t="shared" ref="D15:F15" si="1">D6/$G6</f>
        <v>1.2705972729018629</v>
      </c>
      <c r="E15" s="28">
        <f t="shared" si="1"/>
        <v>0.71288649894372957</v>
      </c>
      <c r="F15" s="29">
        <f t="shared" si="1"/>
        <v>1.6723641252160553</v>
      </c>
      <c r="G15"/>
      <c r="I15" s="24" t="s">
        <v>22</v>
      </c>
      <c r="J15" s="25">
        <v>2492</v>
      </c>
    </row>
    <row r="16" spans="1:10" s="2" customFormat="1" x14ac:dyDescent="0.25">
      <c r="B16" s="24">
        <v>2020</v>
      </c>
      <c r="C16" s="28">
        <f t="shared" ref="C16:F16" si="2">C7/$G7</f>
        <v>0.46238532110091746</v>
      </c>
      <c r="D16" s="28">
        <f t="shared" si="2"/>
        <v>1.1015290519877676</v>
      </c>
      <c r="E16" s="28">
        <f t="shared" si="2"/>
        <v>0.77859327217125385</v>
      </c>
      <c r="F16" s="29">
        <f t="shared" si="2"/>
        <v>1.6574923547400611</v>
      </c>
      <c r="G16"/>
      <c r="I16" s="24" t="s">
        <v>23</v>
      </c>
      <c r="J16" s="25">
        <v>1477</v>
      </c>
    </row>
    <row r="17" spans="2:14" s="2" customFormat="1" x14ac:dyDescent="0.25">
      <c r="B17" s="24">
        <v>2021</v>
      </c>
      <c r="C17" s="28">
        <f t="shared" ref="C17:F17" si="3">C8/$G8</f>
        <v>0.44712990936555891</v>
      </c>
      <c r="D17" s="28">
        <f t="shared" si="3"/>
        <v>1.2045921450151058</v>
      </c>
      <c r="E17" s="28">
        <f t="shared" si="3"/>
        <v>0.71395770392749247</v>
      </c>
      <c r="F17" s="29">
        <f t="shared" si="3"/>
        <v>1.634320241691843</v>
      </c>
      <c r="G17"/>
      <c r="I17" s="24" t="s">
        <v>24</v>
      </c>
      <c r="J17" s="25">
        <v>3381</v>
      </c>
    </row>
    <row r="18" spans="2:14" s="2" customFormat="1" x14ac:dyDescent="0.25">
      <c r="B18" s="24">
        <v>2022</v>
      </c>
      <c r="C18" s="28">
        <f t="shared" ref="C18:F18" si="4">C9/$G9</f>
        <v>0.38139883742733921</v>
      </c>
      <c r="D18" s="28">
        <f t="shared" si="4"/>
        <v>1.1468216763547723</v>
      </c>
      <c r="E18" s="28">
        <f t="shared" si="4"/>
        <v>0.79504969060566288</v>
      </c>
      <c r="F18" s="29">
        <f t="shared" si="4"/>
        <v>1.6767297956122258</v>
      </c>
      <c r="G18"/>
      <c r="I18" s="24" t="s">
        <v>25</v>
      </c>
      <c r="J18" s="25">
        <v>1017</v>
      </c>
    </row>
    <row r="19" spans="2:14" s="2" customFormat="1" x14ac:dyDescent="0.25">
      <c r="B19" s="70" t="s">
        <v>77</v>
      </c>
      <c r="C19" s="74">
        <f>AVERAGE(C15:C18)</f>
        <v>0.40876654270804197</v>
      </c>
      <c r="D19" s="74">
        <f t="shared" ref="D19:F19" si="5">AVERAGE(D15:D18)</f>
        <v>1.1808850365648771</v>
      </c>
      <c r="E19" s="74">
        <f t="shared" si="5"/>
        <v>0.75012179141203472</v>
      </c>
      <c r="F19" s="72">
        <f t="shared" si="5"/>
        <v>1.6602266293150463</v>
      </c>
      <c r="G19"/>
      <c r="I19" s="24" t="s">
        <v>26</v>
      </c>
      <c r="J19" s="25">
        <v>3058</v>
      </c>
    </row>
    <row r="20" spans="2:14" x14ac:dyDescent="0.25">
      <c r="B20" s="70"/>
      <c r="C20" s="74"/>
      <c r="D20" s="74"/>
      <c r="E20" s="74"/>
      <c r="F20" s="72"/>
      <c r="I20" s="52" t="s">
        <v>27</v>
      </c>
      <c r="J20" s="57">
        <v>2120</v>
      </c>
    </row>
    <row r="21" spans="2:14" x14ac:dyDescent="0.25">
      <c r="B21" s="71"/>
      <c r="C21" s="75"/>
      <c r="D21" s="75"/>
      <c r="E21" s="75"/>
      <c r="F21" s="73"/>
      <c r="I21" s="53" t="s">
        <v>28</v>
      </c>
      <c r="J21" s="58">
        <v>4471</v>
      </c>
    </row>
    <row r="23" spans="2:14" x14ac:dyDescent="0.25">
      <c r="B23" s="21" t="s">
        <v>73</v>
      </c>
      <c r="C23" s="22"/>
      <c r="D23" s="22"/>
      <c r="E23" s="22"/>
      <c r="F23" s="23"/>
      <c r="I23" s="55" t="s">
        <v>75</v>
      </c>
      <c r="J23" s="63"/>
    </row>
    <row r="24" spans="2:14" x14ac:dyDescent="0.25">
      <c r="B24" s="30"/>
      <c r="C24" s="2" t="s">
        <v>1</v>
      </c>
      <c r="D24" s="2" t="s">
        <v>2</v>
      </c>
      <c r="E24" s="2" t="s">
        <v>3</v>
      </c>
      <c r="F24" s="25" t="s">
        <v>4</v>
      </c>
      <c r="H24" s="2" t="s">
        <v>78</v>
      </c>
      <c r="I24" s="24" t="s">
        <v>43</v>
      </c>
      <c r="J24" s="25" t="s">
        <v>44</v>
      </c>
      <c r="K24"/>
      <c r="L24"/>
      <c r="M24" s="7"/>
    </row>
    <row r="25" spans="2:14" x14ac:dyDescent="0.25">
      <c r="B25" s="24">
        <v>2019</v>
      </c>
      <c r="C25" s="4">
        <f>C6/C$19</f>
        <v>1095.9801089199714</v>
      </c>
      <c r="D25" s="4">
        <f t="shared" ref="D25:F25" si="6">D6/D$19</f>
        <v>1400.6443885607914</v>
      </c>
      <c r="E25" s="4">
        <f t="shared" si="6"/>
        <v>1237.1324371914673</v>
      </c>
      <c r="F25" s="31">
        <f t="shared" si="6"/>
        <v>1311.2667641634907</v>
      </c>
      <c r="H25" s="1">
        <v>1</v>
      </c>
      <c r="I25" s="24" t="s">
        <v>13</v>
      </c>
      <c r="J25" s="64">
        <v>1095.9801089199714</v>
      </c>
      <c r="K25"/>
      <c r="L25"/>
      <c r="M25"/>
      <c r="N25"/>
    </row>
    <row r="26" spans="2:14" x14ac:dyDescent="0.25">
      <c r="B26" s="24">
        <v>2020</v>
      </c>
      <c r="C26" s="4">
        <f t="shared" ref="C26:F26" si="7">C7/C$19</f>
        <v>1849.4664338024518</v>
      </c>
      <c r="D26" s="4">
        <f t="shared" si="7"/>
        <v>1525.1272937109948</v>
      </c>
      <c r="E26" s="4">
        <f t="shared" si="7"/>
        <v>1697.0577505870021</v>
      </c>
      <c r="F26" s="31">
        <f t="shared" si="7"/>
        <v>1632.3072718801377</v>
      </c>
      <c r="H26" s="1">
        <v>2</v>
      </c>
      <c r="I26" s="24" t="s">
        <v>14</v>
      </c>
      <c r="J26" s="64">
        <v>1400.6443885607914</v>
      </c>
      <c r="K26"/>
      <c r="L26"/>
      <c r="M26"/>
      <c r="N26"/>
    </row>
    <row r="27" spans="2:14" x14ac:dyDescent="0.25">
      <c r="B27" s="24">
        <v>2021</v>
      </c>
      <c r="C27" s="4">
        <f t="shared" ref="C27:F27" si="8">C8/C$19</f>
        <v>2262.9053588191373</v>
      </c>
      <c r="D27" s="4">
        <f t="shared" si="8"/>
        <v>2110.281630165352</v>
      </c>
      <c r="E27" s="4">
        <f t="shared" si="8"/>
        <v>1969.0135880730575</v>
      </c>
      <c r="F27" s="31">
        <f t="shared" si="8"/>
        <v>2036.4689617072863</v>
      </c>
      <c r="H27" s="1">
        <v>3</v>
      </c>
      <c r="I27" s="24" t="s">
        <v>15</v>
      </c>
      <c r="J27" s="64">
        <v>1237.1324371914673</v>
      </c>
      <c r="K27"/>
      <c r="L27"/>
      <c r="M27"/>
      <c r="N27"/>
    </row>
    <row r="28" spans="2:14" x14ac:dyDescent="0.25">
      <c r="B28" s="32">
        <v>2022</v>
      </c>
      <c r="C28" s="33">
        <f t="shared" ref="C28:F28" si="9">C9/C$19</f>
        <v>2487.9727026152032</v>
      </c>
      <c r="D28" s="33">
        <f t="shared" si="9"/>
        <v>2589.5831561178356</v>
      </c>
      <c r="E28" s="33">
        <f t="shared" si="9"/>
        <v>2826.2077228943003</v>
      </c>
      <c r="F28" s="34">
        <f t="shared" si="9"/>
        <v>2693.0058348989282</v>
      </c>
      <c r="H28" s="1">
        <v>4</v>
      </c>
      <c r="I28" s="24" t="s">
        <v>16</v>
      </c>
      <c r="J28" s="64">
        <v>1311.2667641634907</v>
      </c>
      <c r="K28"/>
      <c r="L28"/>
      <c r="M28"/>
      <c r="N28"/>
    </row>
    <row r="29" spans="2:14" x14ac:dyDescent="0.25">
      <c r="H29" s="1">
        <v>5</v>
      </c>
      <c r="I29" s="24" t="s">
        <v>17</v>
      </c>
      <c r="J29" s="64">
        <v>1849.4664338024518</v>
      </c>
      <c r="K29"/>
      <c r="L29"/>
      <c r="M29"/>
      <c r="N29"/>
    </row>
    <row r="30" spans="2:14" x14ac:dyDescent="0.25">
      <c r="B30" s="21" t="s">
        <v>79</v>
      </c>
      <c r="C30" s="22"/>
      <c r="D30" s="22"/>
      <c r="E30" s="22"/>
      <c r="F30" s="23"/>
      <c r="H30" s="1">
        <v>6</v>
      </c>
      <c r="I30" s="24" t="s">
        <v>18</v>
      </c>
      <c r="J30" s="64">
        <v>1525.1272937109948</v>
      </c>
      <c r="K30"/>
      <c r="L30"/>
      <c r="M30"/>
      <c r="N30"/>
    </row>
    <row r="31" spans="2:14" x14ac:dyDescent="0.25">
      <c r="B31" s="24"/>
      <c r="C31" s="2" t="s">
        <v>1</v>
      </c>
      <c r="D31" s="2" t="s">
        <v>2</v>
      </c>
      <c r="E31" s="2" t="s">
        <v>3</v>
      </c>
      <c r="F31" s="25" t="s">
        <v>4</v>
      </c>
      <c r="H31" s="1">
        <v>7</v>
      </c>
      <c r="I31" s="24" t="s">
        <v>19</v>
      </c>
      <c r="J31" s="64">
        <v>1697.0577505870021</v>
      </c>
      <c r="K31"/>
      <c r="L31"/>
      <c r="M31"/>
      <c r="N31"/>
    </row>
    <row r="32" spans="2:14" x14ac:dyDescent="0.25">
      <c r="B32" s="24" t="s">
        <v>80</v>
      </c>
      <c r="C32" s="2">
        <v>17</v>
      </c>
      <c r="D32" s="2">
        <v>18</v>
      </c>
      <c r="E32" s="2">
        <v>19</v>
      </c>
      <c r="F32" s="25">
        <v>20</v>
      </c>
      <c r="H32" s="1">
        <v>8</v>
      </c>
      <c r="I32" s="24" t="s">
        <v>20</v>
      </c>
      <c r="J32" s="64">
        <v>1632.3072718801377</v>
      </c>
      <c r="K32"/>
      <c r="L32"/>
      <c r="M32"/>
      <c r="N32"/>
    </row>
    <row r="33" spans="2:14" x14ac:dyDescent="0.25">
      <c r="B33" s="32">
        <v>2023</v>
      </c>
      <c r="C33" s="33">
        <v>2837.19</v>
      </c>
      <c r="D33" s="33">
        <v>2945.06</v>
      </c>
      <c r="E33" s="33">
        <v>3052.9300000000003</v>
      </c>
      <c r="F33" s="34">
        <v>3160.8</v>
      </c>
      <c r="H33" s="1">
        <v>9</v>
      </c>
      <c r="I33" s="24" t="s">
        <v>21</v>
      </c>
      <c r="J33" s="64">
        <v>2262.9053588191373</v>
      </c>
      <c r="K33"/>
      <c r="L33"/>
      <c r="M33"/>
      <c r="N33"/>
    </row>
    <row r="34" spans="2:14" x14ac:dyDescent="0.25">
      <c r="H34" s="1">
        <v>10</v>
      </c>
      <c r="I34" s="24" t="s">
        <v>22</v>
      </c>
      <c r="J34" s="64">
        <v>2110.281630165352</v>
      </c>
      <c r="K34"/>
      <c r="L34"/>
      <c r="M34"/>
      <c r="N34"/>
    </row>
    <row r="35" spans="2:14" x14ac:dyDescent="0.25">
      <c r="B35" s="21" t="s">
        <v>81</v>
      </c>
      <c r="C35" s="22"/>
      <c r="D35" s="22"/>
      <c r="E35" s="22"/>
      <c r="F35" s="23"/>
      <c r="H35" s="1">
        <v>11</v>
      </c>
      <c r="I35" s="24" t="s">
        <v>23</v>
      </c>
      <c r="J35" s="64">
        <v>1969.0135880730575</v>
      </c>
      <c r="K35"/>
      <c r="L35"/>
      <c r="M35"/>
      <c r="N35"/>
    </row>
    <row r="36" spans="2:14" x14ac:dyDescent="0.25">
      <c r="B36" s="24"/>
      <c r="C36" s="2" t="s">
        <v>1</v>
      </c>
      <c r="D36" s="2" t="s">
        <v>2</v>
      </c>
      <c r="E36" s="2" t="s">
        <v>3</v>
      </c>
      <c r="F36" s="25" t="s">
        <v>4</v>
      </c>
      <c r="H36" s="1">
        <v>12</v>
      </c>
      <c r="I36" s="24" t="s">
        <v>24</v>
      </c>
      <c r="J36" s="64">
        <v>2036.4689617072863</v>
      </c>
      <c r="K36"/>
      <c r="L36"/>
      <c r="M36"/>
      <c r="N36"/>
    </row>
    <row r="37" spans="2:14" x14ac:dyDescent="0.25">
      <c r="B37" s="24" t="s">
        <v>80</v>
      </c>
      <c r="C37" s="2">
        <v>17</v>
      </c>
      <c r="D37" s="2">
        <v>18</v>
      </c>
      <c r="E37" s="2">
        <v>19</v>
      </c>
      <c r="F37" s="25">
        <v>20</v>
      </c>
      <c r="H37" s="1">
        <v>13</v>
      </c>
      <c r="I37" s="24" t="s">
        <v>25</v>
      </c>
      <c r="J37" s="64">
        <v>2487.9727026152032</v>
      </c>
      <c r="K37"/>
      <c r="L37"/>
      <c r="M37"/>
      <c r="N37"/>
    </row>
    <row r="38" spans="2:14" x14ac:dyDescent="0.25">
      <c r="B38" s="53">
        <v>2023</v>
      </c>
      <c r="C38" s="68">
        <f>C33*C$19</f>
        <v>1159.7483473058296</v>
      </c>
      <c r="D38" s="68">
        <f>D33*D$19</f>
        <v>3477.7772857857567</v>
      </c>
      <c r="E38" s="68">
        <f>E33*E$19</f>
        <v>2290.0693206555434</v>
      </c>
      <c r="F38" s="69">
        <f>F33*F$19</f>
        <v>5247.6443299389985</v>
      </c>
      <c r="H38" s="1">
        <v>14</v>
      </c>
      <c r="I38" s="24" t="s">
        <v>26</v>
      </c>
      <c r="J38" s="64">
        <v>2589.5831561178356</v>
      </c>
      <c r="K38"/>
      <c r="L38"/>
      <c r="M38"/>
      <c r="N38"/>
    </row>
    <row r="39" spans="2:14" x14ac:dyDescent="0.25">
      <c r="H39" s="1">
        <v>15</v>
      </c>
      <c r="I39" s="24" t="s">
        <v>27</v>
      </c>
      <c r="J39" s="64">
        <v>2826.2077228943003</v>
      </c>
      <c r="K39"/>
      <c r="L39"/>
      <c r="M39"/>
      <c r="N39"/>
    </row>
    <row r="40" spans="2:14" x14ac:dyDescent="0.25">
      <c r="H40" s="1">
        <v>16</v>
      </c>
      <c r="I40" s="24" t="s">
        <v>28</v>
      </c>
      <c r="J40" s="64">
        <v>2693.0058348989282</v>
      </c>
      <c r="K40"/>
      <c r="L40"/>
      <c r="M40"/>
      <c r="N40"/>
    </row>
    <row r="41" spans="2:14" x14ac:dyDescent="0.25">
      <c r="B41" s="1"/>
      <c r="C41" s="1"/>
      <c r="D41" s="1"/>
      <c r="E41" s="1"/>
      <c r="F41" s="1"/>
      <c r="H41" s="62">
        <v>17</v>
      </c>
      <c r="I41" s="20" t="s">
        <v>90</v>
      </c>
      <c r="J41" s="20">
        <f>107.87*H41+1003.4</f>
        <v>2837.19</v>
      </c>
      <c r="K41"/>
      <c r="L41"/>
      <c r="M41"/>
      <c r="N41"/>
    </row>
    <row r="42" spans="2:14" x14ac:dyDescent="0.25">
      <c r="H42" s="62">
        <v>18</v>
      </c>
      <c r="I42" s="20" t="s">
        <v>91</v>
      </c>
      <c r="J42" s="20">
        <f t="shared" ref="J42:J44" si="10">107.87*H42+1003.4</f>
        <v>2945.06</v>
      </c>
      <c r="K42"/>
      <c r="L42"/>
      <c r="M42"/>
      <c r="N42"/>
    </row>
    <row r="43" spans="2:14" x14ac:dyDescent="0.25">
      <c r="H43" s="62">
        <v>19</v>
      </c>
      <c r="I43" s="20" t="s">
        <v>92</v>
      </c>
      <c r="J43" s="20">
        <f t="shared" si="10"/>
        <v>3052.9300000000003</v>
      </c>
      <c r="K43"/>
      <c r="L43"/>
      <c r="M43"/>
      <c r="N43"/>
    </row>
    <row r="44" spans="2:14" x14ac:dyDescent="0.25">
      <c r="H44" s="62">
        <v>20</v>
      </c>
      <c r="I44" s="20" t="s">
        <v>93</v>
      </c>
      <c r="J44" s="20">
        <f t="shared" si="10"/>
        <v>3160.8</v>
      </c>
      <c r="K44"/>
      <c r="L44"/>
      <c r="M44"/>
      <c r="N44"/>
    </row>
    <row r="45" spans="2:14" x14ac:dyDescent="0.25">
      <c r="K45"/>
      <c r="L45"/>
      <c r="M45"/>
      <c r="N45"/>
    </row>
    <row r="46" spans="2:14" x14ac:dyDescent="0.25">
      <c r="I46" s="18" t="s">
        <v>30</v>
      </c>
      <c r="J46" s="19">
        <f>AVERAGE(J25:J40)</f>
        <v>1920.276337756713</v>
      </c>
      <c r="K46"/>
      <c r="L46"/>
      <c r="M46"/>
      <c r="N46"/>
    </row>
    <row r="47" spans="2:14" x14ac:dyDescent="0.25">
      <c r="I47" s="18" t="s">
        <v>89</v>
      </c>
      <c r="J47" s="19">
        <f>_xlfn.STDEV.S(J25:J40)</f>
        <v>543.96172953196208</v>
      </c>
      <c r="L47"/>
      <c r="M47"/>
      <c r="N47"/>
    </row>
    <row r="48" spans="2:14" x14ac:dyDescent="0.25">
      <c r="N48"/>
    </row>
    <row r="49" spans="14:14" x14ac:dyDescent="0.25">
      <c r="N49"/>
    </row>
    <row r="50" spans="14:14" x14ac:dyDescent="0.25">
      <c r="N50"/>
    </row>
    <row r="51" spans="14:14" x14ac:dyDescent="0.25">
      <c r="N51"/>
    </row>
    <row r="52" spans="14:14" x14ac:dyDescent="0.25">
      <c r="N52"/>
    </row>
    <row r="53" spans="14:14" x14ac:dyDescent="0.25">
      <c r="N53"/>
    </row>
    <row r="54" spans="14:14" x14ac:dyDescent="0.25">
      <c r="N54"/>
    </row>
    <row r="55" spans="14:14" x14ac:dyDescent="0.25">
      <c r="N55"/>
    </row>
  </sheetData>
  <mergeCells count="5">
    <mergeCell ref="B19:B21"/>
    <mergeCell ref="C19:C21"/>
    <mergeCell ref="D19:D21"/>
    <mergeCell ref="E19:E21"/>
    <mergeCell ref="F19:F2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226AF2-3E84-4083-BC3A-9E46B4D976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Baseline</vt:lpstr>
      <vt:lpstr>Baseline plus Seasonality</vt:lpstr>
      <vt:lpstr>Baseline plus Trend</vt:lpstr>
      <vt:lpstr>Baseline, Trend and Seasonality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rhark</dc:creator>
  <cp:lastModifiedBy>Marco Se</cp:lastModifiedBy>
  <dcterms:created xsi:type="dcterms:W3CDTF">2021-05-31T01:08:26Z</dcterms:created>
  <dcterms:modified xsi:type="dcterms:W3CDTF">2025-12-18T23:16:03Z</dcterms:modified>
</cp:coreProperties>
</file>